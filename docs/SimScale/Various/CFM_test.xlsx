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iccardo/Dropbox/Lavoro/Consulting/SimScale/"/>
    </mc:Choice>
  </mc:AlternateContent>
  <xr:revisionPtr revIDLastSave="0" documentId="13_ncr:1_{5CD7E31E-3974-B742-A5A3-33CFFB54A4D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KF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J13" i="1"/>
  <c r="J12" i="1"/>
  <c r="J11" i="1"/>
  <c r="J10" i="1"/>
  <c r="J9" i="1"/>
  <c r="J8" i="1"/>
  <c r="J7" i="1"/>
  <c r="J6" i="1"/>
  <c r="J5" i="1"/>
  <c r="J4" i="1"/>
  <c r="J3" i="1"/>
  <c r="H13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<sst xmlns="http://schemas.openxmlformats.org/spreadsheetml/2006/main" count="11" uniqueCount="11">
  <si>
    <t>TKFAN (model: DCH12038HV12B) 12V 2.5A</t>
  </si>
  <si>
    <t>Set Voltage</t>
  </si>
  <si>
    <t>Set Amperage</t>
  </si>
  <si>
    <t>Power Bank Output (V)</t>
  </si>
  <si>
    <t>Power Bank Output (A)</t>
  </si>
  <si>
    <t>Multimeter (V)</t>
  </si>
  <si>
    <t>Multimeter (A)</t>
  </si>
  <si>
    <t>Power (W)</t>
  </si>
  <si>
    <t>CFM</t>
  </si>
  <si>
    <t>CFM Corrected</t>
  </si>
  <si>
    <t>Power 2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</si>
</sst>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Voltage (V) to CFM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TKFAN!$I$2</c:f>
              <c:strCache>
                <c:ptCount val="1"/>
                <c:pt idx="0">
                  <c:v>CFM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TKFAN!$E$3:$E$13</c:f>
              <c:numCache>
                <c:formatCode>General</c:formatCode>
                <c:ptCount val="11"/>
                <c:pt idx="0">
                  <c:v>4.6900000000000004</c:v>
                </c:pt>
                <c:pt idx="1">
                  <c:v>5.97</c:v>
                </c:pt>
                <c:pt idx="2">
                  <c:v>7.1</c:v>
                </c:pt>
                <c:pt idx="3">
                  <c:v>8.2100000000000009</c:v>
                </c:pt>
                <c:pt idx="4">
                  <c:v>9.1</c:v>
                </c:pt>
                <c:pt idx="5">
                  <c:v>9.9</c:v>
                </c:pt>
                <c:pt idx="6">
                  <c:v>10.53</c:v>
                </c:pt>
                <c:pt idx="7">
                  <c:v>11.02</c:v>
                </c:pt>
                <c:pt idx="8">
                  <c:v>11.46</c:v>
                </c:pt>
                <c:pt idx="10">
                  <c:v>11.8</c:v>
                </c:pt>
              </c:numCache>
            </c:numRef>
          </c:cat>
          <c:val>
            <c:numRef>
              <c:f>TKFAN!$I$3:$I$11</c:f>
              <c:numCache>
                <c:formatCode>General</c:formatCode>
                <c:ptCount val="9"/>
                <c:pt idx="0">
                  <c:v>101.1</c:v>
                </c:pt>
                <c:pt idx="1">
                  <c:v>132.5</c:v>
                </c:pt>
                <c:pt idx="2">
                  <c:v>160.4</c:v>
                </c:pt>
                <c:pt idx="3">
                  <c:v>180.2</c:v>
                </c:pt>
                <c:pt idx="4">
                  <c:v>198.4</c:v>
                </c:pt>
                <c:pt idx="5">
                  <c:v>205.1</c:v>
                </c:pt>
                <c:pt idx="6">
                  <c:v>213</c:v>
                </c:pt>
                <c:pt idx="7">
                  <c:v>226.6</c:v>
                </c:pt>
                <c:pt idx="8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9-4AD4-AD36-7E1D2AB285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47092707"/>
        <c:axId val="188773120"/>
      </c:areaChart>
      <c:catAx>
        <c:axId val="184709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Watts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773120"/>
        <c:crosses val="autoZero"/>
        <c:auto val="1"/>
        <c:lblAlgn val="ctr"/>
        <c:lblOffset val="100"/>
        <c:noMultiLvlLbl val="1"/>
      </c:catAx>
      <c:valAx>
        <c:axId val="188773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Cubic Feet / 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0927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Power (Watts) to CFM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TKFAN!$I$2</c:f>
              <c:strCache>
                <c:ptCount val="1"/>
                <c:pt idx="0">
                  <c:v>CFM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TKFAN!$D$3:$D$13</c:f>
              <c:numCache>
                <c:formatCode>General</c:formatCode>
                <c:ptCount val="11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1.59</c:v>
                </c:pt>
                <c:pt idx="6">
                  <c:v>1.7</c:v>
                </c:pt>
                <c:pt idx="7">
                  <c:v>1.79</c:v>
                </c:pt>
                <c:pt idx="8">
                  <c:v>1.84</c:v>
                </c:pt>
                <c:pt idx="10">
                  <c:v>1.85</c:v>
                </c:pt>
              </c:numCache>
            </c:numRef>
          </c:cat>
          <c:val>
            <c:numRef>
              <c:f>TKFAN!$I$3:$I$11</c:f>
              <c:numCache>
                <c:formatCode>General</c:formatCode>
                <c:ptCount val="9"/>
                <c:pt idx="0">
                  <c:v>101.1</c:v>
                </c:pt>
                <c:pt idx="1">
                  <c:v>132.5</c:v>
                </c:pt>
                <c:pt idx="2">
                  <c:v>160.4</c:v>
                </c:pt>
                <c:pt idx="3">
                  <c:v>180.2</c:v>
                </c:pt>
                <c:pt idx="4">
                  <c:v>198.4</c:v>
                </c:pt>
                <c:pt idx="5">
                  <c:v>205.1</c:v>
                </c:pt>
                <c:pt idx="6">
                  <c:v>213</c:v>
                </c:pt>
                <c:pt idx="7">
                  <c:v>226.6</c:v>
                </c:pt>
                <c:pt idx="8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E-4622-BE6B-476C3D96F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092707"/>
        <c:axId val="188773120"/>
      </c:areaChart>
      <c:catAx>
        <c:axId val="184709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Watts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773120"/>
        <c:crosses val="autoZero"/>
        <c:auto val="1"/>
        <c:lblAlgn val="ctr"/>
        <c:lblOffset val="100"/>
        <c:noMultiLvlLbl val="1"/>
      </c:catAx>
      <c:valAx>
        <c:axId val="188773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Cubic Feet / 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0927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TKFAN 200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7185193507543E-2"/>
          <c:y val="4.3230781399172739E-2"/>
          <c:w val="0.8583484542105777"/>
          <c:h val="0.89737152415338117"/>
        </c:manualLayout>
      </c:layout>
      <c:scatterChart>
        <c:scatterStyle val="lineMarker"/>
        <c:varyColors val="0"/>
        <c:ser>
          <c:idx val="0"/>
          <c:order val="0"/>
          <c:tx>
            <c:v>TKFAN CFM vs Power</c:v>
          </c:tx>
          <c:spPr>
            <a:ln w="666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0865174637366693E-2"/>
                  <c:y val="-1.0944324438911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EE-4338-92CF-655CA7442119}"/>
                </c:ext>
              </c:extLst>
            </c:dLbl>
            <c:dLbl>
              <c:idx val="1"/>
              <c:layout>
                <c:manualLayout>
                  <c:x val="3.1267793375264114E-2"/>
                  <c:y val="-1.792276127626634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EE-4338-92CF-655CA7442119}"/>
                </c:ext>
              </c:extLst>
            </c:dLbl>
            <c:dLbl>
              <c:idx val="2"/>
              <c:layout>
                <c:manualLayout>
                  <c:x val="3.9096974815079899E-2"/>
                  <c:y val="-9.418983053697422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EE-4338-92CF-655CA7442119}"/>
                </c:ext>
              </c:extLst>
            </c:dLbl>
            <c:dLbl>
              <c:idx val="3"/>
              <c:layout>
                <c:manualLayout>
                  <c:x val="4.594750857491868E-2"/>
                  <c:y val="-1.3232336516732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EE-4338-92CF-655CA7442119}"/>
                </c:ext>
              </c:extLst>
            </c:dLbl>
            <c:dLbl>
              <c:idx val="4"/>
              <c:layout>
                <c:manualLayout>
                  <c:x val="4.3011565534987702E-2"/>
                  <c:y val="-2.554946820233713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EE-4338-92CF-655CA7442119}"/>
                </c:ext>
              </c:extLst>
            </c:dLbl>
            <c:dLbl>
              <c:idx val="5"/>
              <c:layout>
                <c:manualLayout>
                  <c:x val="5.7365861116331851E-2"/>
                  <c:y val="-8.656312361090342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EE-4338-92CF-655CA7442119}"/>
                </c:ext>
              </c:extLst>
            </c:dLbl>
            <c:dLbl>
              <c:idx val="6"/>
              <c:layout>
                <c:manualLayout>
                  <c:x val="7.9250889124534776E-2"/>
                  <c:y val="-4.08028820544787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EE-4338-92CF-655CA7442119}"/>
                </c:ext>
              </c:extLst>
            </c:dLbl>
            <c:dLbl>
              <c:idx val="7"/>
              <c:layout>
                <c:manualLayout>
                  <c:x val="3.9096974815079753E-2"/>
                  <c:y val="1.5749149802336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EE-4338-92CF-655CA7442119}"/>
                </c:ext>
              </c:extLst>
            </c:dLbl>
            <c:dLbl>
              <c:idx val="8"/>
              <c:layout>
                <c:manualLayout>
                  <c:x val="2.4686349197982814E-2"/>
                  <c:y val="-4.8942500034530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EE-4338-92CF-655CA7442119}"/>
                </c:ext>
              </c:extLst>
            </c:dLbl>
            <c:dLbl>
              <c:idx val="10"/>
              <c:layout>
                <c:manualLayout>
                  <c:x val="1.4899872398212985E-2"/>
                  <c:y val="-1.61476602524259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EE-4338-92CF-655CA74421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EE0000"/>
                </a:solidFill>
                <a:prstDash val="sysDot"/>
              </a:ln>
              <a:effectLst/>
            </c:spPr>
            <c:trendlineType val="poly"/>
            <c:order val="3"/>
            <c:intercept val="60"/>
            <c:dispRSqr val="0"/>
            <c:dispEq val="1"/>
            <c:trendlineLbl>
              <c:layout>
                <c:manualLayout>
                  <c:x val="6.8790224249795251E-2"/>
                  <c:y val="0.5269370484403984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800" b="1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CFM(x) = 0.0219x</a:t>
                    </a:r>
                    <a:r>
                      <a:rPr lang="en-US" sz="2800" b="1" baseline="300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3</a:t>
                    </a:r>
                    <a:r>
                      <a:rPr lang="en-US" sz="2800" b="1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 - 1.0787x</a:t>
                    </a:r>
                    <a:r>
                      <a:rPr lang="en-US" sz="2800" b="1" baseline="300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2</a:t>
                    </a:r>
                    <a:r>
                      <a:rPr lang="en-US" sz="2800" b="1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 + 21.28x + 60</a:t>
                    </a:r>
                    <a:endParaRPr lang="en-US" sz="2800" b="1"/>
                  </a:p>
                </c:rich>
              </c:tx>
              <c:numFmt formatCode="General" sourceLinked="0"/>
              <c:spPr>
                <a:solidFill>
                  <a:schemeClr val="lt1"/>
                </a:solidFill>
                <a:ln w="12700" cap="flat" cmpd="sng" algn="ctr">
                  <a:solidFill>
                    <a:schemeClr val="accent2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TKFAN!$H$3:$H$13</c:f>
              <c:numCache>
                <c:formatCode>General</c:formatCode>
                <c:ptCount val="11"/>
                <c:pt idx="0">
                  <c:v>2.3450000000000002</c:v>
                </c:pt>
                <c:pt idx="1">
                  <c:v>4.4775</c:v>
                </c:pt>
                <c:pt idx="2">
                  <c:v>7.1</c:v>
                </c:pt>
                <c:pt idx="3">
                  <c:v>10.262500000000001</c:v>
                </c:pt>
                <c:pt idx="4">
                  <c:v>13.649999999999999</c:v>
                </c:pt>
                <c:pt idx="5">
                  <c:v>15.741000000000001</c:v>
                </c:pt>
                <c:pt idx="6">
                  <c:v>17.901</c:v>
                </c:pt>
                <c:pt idx="7">
                  <c:v>19.7258</c:v>
                </c:pt>
                <c:pt idx="8">
                  <c:v>21.086400000000001</c:v>
                </c:pt>
                <c:pt idx="10">
                  <c:v>21.830000000000002</c:v>
                </c:pt>
              </c:numCache>
            </c:numRef>
          </c:xVal>
          <c:yVal>
            <c:numRef>
              <c:f>TKFAN!$J$3:$J$13</c:f>
              <c:numCache>
                <c:formatCode>General</c:formatCode>
                <c:ptCount val="11"/>
                <c:pt idx="0">
                  <c:v>104.47</c:v>
                </c:pt>
                <c:pt idx="1">
                  <c:v>136.91666666666669</c:v>
                </c:pt>
                <c:pt idx="2">
                  <c:v>165.7466666666667</c:v>
                </c:pt>
                <c:pt idx="3">
                  <c:v>186.20666666666668</c:v>
                </c:pt>
                <c:pt idx="4">
                  <c:v>205.01333333333335</c:v>
                </c:pt>
                <c:pt idx="5">
                  <c:v>211.9366666666667</c:v>
                </c:pt>
                <c:pt idx="6">
                  <c:v>220.10000000000002</c:v>
                </c:pt>
                <c:pt idx="7">
                  <c:v>234.15333333333336</c:v>
                </c:pt>
                <c:pt idx="8">
                  <c:v>234.56666666666669</c:v>
                </c:pt>
                <c:pt idx="9">
                  <c:v>0</c:v>
                </c:pt>
                <c:pt idx="10">
                  <c:v>235.4966666666667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E-4338-92CF-655CA7442119}"/>
            </c:ext>
          </c:extLst>
        </c:ser>
        <c:ser>
          <c:idx val="1"/>
          <c:order val="1"/>
          <c:tx>
            <c:strRef>
              <c:f>TKFAN!$J$2</c:f>
              <c:strCache>
                <c:ptCount val="1"/>
                <c:pt idx="0">
                  <c:v>CFM Corrected</c:v>
                </c:pt>
              </c:strCache>
            </c:strRef>
          </c:tx>
          <c:spPr>
            <a:ln w="142875" cap="rnd">
              <a:solidFill>
                <a:srgbClr val="00B050">
                  <a:alpha val="4400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forward val="5"/>
            <c:backward val="5"/>
            <c:intercept val="15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TKFAN!$H$6:$H$9</c:f>
              <c:numCache>
                <c:formatCode>General</c:formatCode>
                <c:ptCount val="4"/>
                <c:pt idx="0">
                  <c:v>10.262500000000001</c:v>
                </c:pt>
                <c:pt idx="1">
                  <c:v>13.649999999999999</c:v>
                </c:pt>
                <c:pt idx="2">
                  <c:v>15.741000000000001</c:v>
                </c:pt>
                <c:pt idx="3">
                  <c:v>17.901</c:v>
                </c:pt>
              </c:numCache>
            </c:numRef>
          </c:xVal>
          <c:yVal>
            <c:numRef>
              <c:f>TKFAN!$J$6:$J$9</c:f>
              <c:numCache>
                <c:formatCode>General</c:formatCode>
                <c:ptCount val="4"/>
                <c:pt idx="0">
                  <c:v>186.20666666666668</c:v>
                </c:pt>
                <c:pt idx="1">
                  <c:v>205.01333333333335</c:v>
                </c:pt>
                <c:pt idx="2">
                  <c:v>211.9366666666667</c:v>
                </c:pt>
                <c:pt idx="3">
                  <c:v>220.10000000000002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FEE-4338-92CF-655CA74421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5747423"/>
        <c:axId val="205748383"/>
      </c:scatterChart>
      <c:valAx>
        <c:axId val="2057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8383"/>
        <c:crosses val="autoZero"/>
        <c:crossBetween val="midCat"/>
      </c:valAx>
      <c:valAx>
        <c:axId val="2057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37028971479724"/>
          <c:y val="0.10740304781659851"/>
          <c:w val="0.27925354708271455"/>
          <c:h val="9.9046031422085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320964</xdr:colOff>
      <xdr:row>1</xdr:row>
      <xdr:rowOff>137968</xdr:rowOff>
    </xdr:from>
    <xdr:ext cx="7448550" cy="46005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219364</xdr:colOff>
      <xdr:row>27</xdr:row>
      <xdr:rowOff>57727</xdr:rowOff>
    </xdr:from>
    <xdr:ext cx="7448550" cy="46005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A248A9D0-9733-40F6-A6CA-C8F5599F1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24</xdr:col>
      <xdr:colOff>750454</xdr:colOff>
      <xdr:row>8</xdr:row>
      <xdr:rowOff>127000</xdr:rowOff>
    </xdr:from>
    <xdr:to>
      <xdr:col>39</xdr:col>
      <xdr:colOff>127000</xdr:colOff>
      <xdr:row>91</xdr:row>
      <xdr:rowOff>173181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E98820-F7BE-FABA-F7C6-53F9E717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3"/>
  <sheetViews>
    <sheetView tabSelected="1" topLeftCell="C1" zoomScaleNormal="70" workbookViewId="0">
      <selection activeCell="I20" sqref="I20"/>
    </sheetView>
  </sheetViews>
  <sheetFormatPr baseColWidth="10" defaultColWidth="12.6640625" defaultRowHeight="15.75" customHeight="1" x14ac:dyDescent="0.15"/>
  <cols>
    <col min="2" max="2" width="14.5" customWidth="1"/>
    <col min="3" max="3" width="22.6640625" customWidth="1"/>
    <col min="4" max="4" width="22.83203125" customWidth="1"/>
    <col min="5" max="5" width="15.1640625" customWidth="1"/>
    <col min="6" max="7" width="14.5" customWidth="1"/>
    <col min="8" max="8" width="10.6640625" customWidth="1"/>
  </cols>
  <sheetData>
    <row r="1" spans="1:28" ht="15.75" customHeight="1" x14ac:dyDescent="0.2">
      <c r="A1" s="4" t="s">
        <v>0</v>
      </c>
      <c r="B1" s="3"/>
      <c r="C1" s="3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  <c r="H2" s="1" t="s">
        <v>7</v>
      </c>
      <c r="I2" s="1" t="s">
        <v>8</v>
      </c>
      <c r="J2" s="1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15">
      <c r="A3" s="2">
        <v>12</v>
      </c>
      <c r="B3" s="2">
        <v>0.5</v>
      </c>
      <c r="C3" s="2">
        <v>4.7300000000000004</v>
      </c>
      <c r="D3" s="2">
        <v>0.5</v>
      </c>
      <c r="E3" s="2">
        <v>4.6900000000000004</v>
      </c>
      <c r="F3" s="2">
        <v>3.6999999999999998E-2</v>
      </c>
      <c r="G3" s="2"/>
      <c r="H3" s="2">
        <f>D3*E3</f>
        <v>2.3450000000000002</v>
      </c>
      <c r="I3" s="2">
        <v>101.1</v>
      </c>
      <c r="J3">
        <f>I3*(0.155/0.15)</f>
        <v>104.47</v>
      </c>
    </row>
    <row r="4" spans="1:28" ht="15.75" customHeight="1" x14ac:dyDescent="0.15">
      <c r="A4" s="2">
        <v>12</v>
      </c>
      <c r="B4" s="2">
        <v>0.75</v>
      </c>
      <c r="C4" s="2">
        <v>6.03</v>
      </c>
      <c r="D4" s="2">
        <v>0.75</v>
      </c>
      <c r="E4" s="2">
        <v>5.97</v>
      </c>
      <c r="F4" s="2">
        <v>5.7000000000000002E-2</v>
      </c>
      <c r="G4" s="2"/>
      <c r="H4" s="2">
        <f t="shared" ref="H3:H11" si="0">D4*E4</f>
        <v>4.4775</v>
      </c>
      <c r="I4" s="2">
        <v>132.5</v>
      </c>
      <c r="J4">
        <f t="shared" ref="J4:J13" si="1">I4*(0.155/0.15)</f>
        <v>136.91666666666669</v>
      </c>
    </row>
    <row r="5" spans="1:28" ht="15.75" customHeight="1" x14ac:dyDescent="0.15">
      <c r="A5" s="2">
        <v>12</v>
      </c>
      <c r="B5" s="2">
        <v>1</v>
      </c>
      <c r="C5" s="2">
        <v>7.18</v>
      </c>
      <c r="D5" s="2">
        <v>1</v>
      </c>
      <c r="E5" s="2">
        <v>7.1</v>
      </c>
      <c r="F5" s="2">
        <v>7.2999999999999995E-2</v>
      </c>
      <c r="G5" s="2"/>
      <c r="H5" s="2">
        <f t="shared" si="0"/>
        <v>7.1</v>
      </c>
      <c r="I5" s="2">
        <v>160.4</v>
      </c>
      <c r="J5">
        <f t="shared" si="1"/>
        <v>165.7466666666667</v>
      </c>
    </row>
    <row r="6" spans="1:28" ht="15.75" customHeight="1" x14ac:dyDescent="0.15">
      <c r="A6" s="2">
        <v>12</v>
      </c>
      <c r="B6" s="2">
        <v>1.25</v>
      </c>
      <c r="C6" s="2">
        <v>8.33</v>
      </c>
      <c r="D6" s="2">
        <v>1.25</v>
      </c>
      <c r="E6" s="2">
        <v>8.2100000000000009</v>
      </c>
      <c r="F6" s="2">
        <v>0.09</v>
      </c>
      <c r="G6" s="2"/>
      <c r="H6" s="2">
        <f t="shared" si="0"/>
        <v>10.262500000000001</v>
      </c>
      <c r="I6" s="2">
        <v>180.2</v>
      </c>
      <c r="J6">
        <f t="shared" si="1"/>
        <v>186.20666666666668</v>
      </c>
    </row>
    <row r="7" spans="1:28" ht="15.75" customHeight="1" x14ac:dyDescent="0.15">
      <c r="A7" s="2">
        <v>12</v>
      </c>
      <c r="B7" s="2">
        <v>1.5</v>
      </c>
      <c r="C7" s="2">
        <v>9.35</v>
      </c>
      <c r="D7" s="2">
        <v>1.5</v>
      </c>
      <c r="E7" s="2">
        <v>9.1</v>
      </c>
      <c r="F7" s="2">
        <v>0.105</v>
      </c>
      <c r="G7" s="2"/>
      <c r="H7" s="2">
        <f t="shared" si="0"/>
        <v>13.649999999999999</v>
      </c>
      <c r="I7" s="2">
        <v>198.4</v>
      </c>
      <c r="J7">
        <f t="shared" si="1"/>
        <v>205.01333333333335</v>
      </c>
    </row>
    <row r="8" spans="1:28" ht="15.75" customHeight="1" x14ac:dyDescent="0.15">
      <c r="A8" s="2">
        <v>12</v>
      </c>
      <c r="B8" s="2">
        <v>1.75</v>
      </c>
      <c r="C8" s="2">
        <v>10.050000000000001</v>
      </c>
      <c r="D8" s="2">
        <v>1.59</v>
      </c>
      <c r="E8" s="2">
        <v>9.9</v>
      </c>
      <c r="F8" s="2">
        <v>0.11700000000000001</v>
      </c>
      <c r="G8" s="2"/>
      <c r="H8" s="2">
        <f t="shared" si="0"/>
        <v>15.741000000000001</v>
      </c>
      <c r="I8" s="2">
        <v>205.1</v>
      </c>
      <c r="J8">
        <f t="shared" si="1"/>
        <v>211.9366666666667</v>
      </c>
    </row>
    <row r="9" spans="1:28" ht="15.75" customHeight="1" x14ac:dyDescent="0.15">
      <c r="A9" s="2">
        <v>12</v>
      </c>
      <c r="B9" s="2">
        <v>2</v>
      </c>
      <c r="C9" s="2">
        <v>10.7</v>
      </c>
      <c r="D9" s="2">
        <v>1.7</v>
      </c>
      <c r="E9" s="2">
        <v>10.53</v>
      </c>
      <c r="F9" s="2">
        <v>0.124</v>
      </c>
      <c r="G9" s="2"/>
      <c r="H9" s="2">
        <f t="shared" si="0"/>
        <v>17.901</v>
      </c>
      <c r="I9" s="2">
        <v>213</v>
      </c>
      <c r="J9">
        <f t="shared" si="1"/>
        <v>220.10000000000002</v>
      </c>
    </row>
    <row r="10" spans="1:28" ht="15.75" customHeight="1" x14ac:dyDescent="0.15">
      <c r="A10" s="2">
        <v>12</v>
      </c>
      <c r="B10" s="2">
        <v>2.25</v>
      </c>
      <c r="C10" s="2">
        <v>12</v>
      </c>
      <c r="D10" s="2">
        <v>1.79</v>
      </c>
      <c r="E10" s="2">
        <v>11.02</v>
      </c>
      <c r="F10" s="2">
        <v>0.13400000000000001</v>
      </c>
      <c r="G10" s="2"/>
      <c r="H10" s="2">
        <f t="shared" si="0"/>
        <v>19.7258</v>
      </c>
      <c r="I10" s="2">
        <v>226.6</v>
      </c>
      <c r="J10">
        <f t="shared" si="1"/>
        <v>234.15333333333336</v>
      </c>
    </row>
    <row r="11" spans="1:28" ht="15.75" customHeight="1" x14ac:dyDescent="0.15">
      <c r="A11" s="2">
        <v>12</v>
      </c>
      <c r="B11" s="2">
        <v>2.5</v>
      </c>
      <c r="C11" s="2">
        <v>12</v>
      </c>
      <c r="D11" s="2">
        <v>1.84</v>
      </c>
      <c r="E11" s="2">
        <v>11.46</v>
      </c>
      <c r="F11" s="2">
        <v>0.13800000000000001</v>
      </c>
      <c r="G11" s="2"/>
      <c r="H11" s="2">
        <f t="shared" si="0"/>
        <v>21.086400000000001</v>
      </c>
      <c r="I11" s="2">
        <v>227</v>
      </c>
      <c r="J11">
        <f t="shared" si="1"/>
        <v>234.56666666666669</v>
      </c>
    </row>
    <row r="12" spans="1:28" ht="15.75" customHeight="1" x14ac:dyDescent="0.15">
      <c r="A12" s="2">
        <v>12</v>
      </c>
      <c r="B12" s="2">
        <v>2.75</v>
      </c>
      <c r="J12">
        <f t="shared" si="1"/>
        <v>0</v>
      </c>
    </row>
    <row r="13" spans="1:28" ht="15.75" customHeight="1" x14ac:dyDescent="0.15">
      <c r="A13" s="2">
        <v>12</v>
      </c>
      <c r="B13" s="2">
        <v>3</v>
      </c>
      <c r="C13" s="2">
        <v>12</v>
      </c>
      <c r="D13" s="2">
        <v>1.85</v>
      </c>
      <c r="E13" s="2">
        <v>11.8</v>
      </c>
      <c r="F13" s="2">
        <v>0.14499999999999999</v>
      </c>
      <c r="G13" s="2"/>
      <c r="H13" s="2">
        <f>D13*E13</f>
        <v>21.830000000000002</v>
      </c>
      <c r="I13" s="2">
        <v>227.9</v>
      </c>
      <c r="J13">
        <f t="shared" si="1"/>
        <v>235.4966666666667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MESSINA</cp:lastModifiedBy>
  <dcterms:modified xsi:type="dcterms:W3CDTF">2025-07-01T20:23:57Z</dcterms:modified>
</cp:coreProperties>
</file>