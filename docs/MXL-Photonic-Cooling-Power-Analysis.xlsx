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balm\Desktop\BBrain-Vault\context_data\chip_thermal_and_performance_impact_model\"/>
    </mc:Choice>
  </mc:AlternateContent>
  <xr:revisionPtr revIDLastSave="0" documentId="13_ncr:1_{2345F15D-E6EB-47B6-BF48-822D0BBA35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XL Cooling DC Scaling v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5" l="1"/>
  <c r="J19" i="5" s="1"/>
  <c r="F31" i="5"/>
  <c r="F19" i="5" s="1"/>
  <c r="B31" i="5"/>
  <c r="B19" i="5" s="1"/>
  <c r="J30" i="5"/>
  <c r="J27" i="5" s="1"/>
  <c r="F30" i="5"/>
  <c r="B30" i="5"/>
  <c r="J29" i="5"/>
  <c r="F29" i="5"/>
  <c r="F27" i="5" s="1"/>
  <c r="B29" i="5"/>
  <c r="B27" i="5"/>
  <c r="J18" i="5"/>
  <c r="F18" i="5"/>
  <c r="B18" i="5"/>
  <c r="B20" i="5" s="1"/>
  <c r="F17" i="5"/>
  <c r="B17" i="5"/>
  <c r="J15" i="5"/>
  <c r="F15" i="5"/>
  <c r="B15" i="5"/>
  <c r="K14" i="5"/>
  <c r="J14" i="5" s="1"/>
  <c r="J28" i="5" s="1"/>
  <c r="G14" i="5"/>
  <c r="F14" i="5"/>
  <c r="F28" i="5" s="1"/>
  <c r="C14" i="5"/>
  <c r="B14" i="5"/>
  <c r="B28" i="5" s="1"/>
  <c r="G13" i="5"/>
  <c r="D13" i="5"/>
  <c r="C13" i="5"/>
  <c r="L12" i="5"/>
  <c r="H12" i="5"/>
  <c r="G19" i="5" l="1"/>
  <c r="F21" i="5"/>
  <c r="F22" i="5" s="1"/>
  <c r="K19" i="5"/>
  <c r="J21" i="5"/>
  <c r="J22" i="5" s="1"/>
  <c r="F20" i="5"/>
  <c r="J20" i="5"/>
  <c r="B21" i="5"/>
  <c r="B22" i="5" s="1"/>
  <c r="C19" i="5"/>
  <c r="J17" i="5"/>
  <c r="K13" i="5"/>
</calcChain>
</file>

<file path=xl/sharedStrings.xml><?xml version="1.0" encoding="utf-8"?>
<sst xmlns="http://schemas.openxmlformats.org/spreadsheetml/2006/main" count="255" uniqueCount="100">
  <si>
    <t>MVP-1</t>
  </si>
  <si>
    <t>Efficiency</t>
  </si>
  <si>
    <t>Wavelength</t>
  </si>
  <si>
    <t>MVP-2</t>
  </si>
  <si>
    <t>MVP-3</t>
  </si>
  <si>
    <t>Output Wavelength</t>
  </si>
  <si>
    <t>LPC</t>
  </si>
  <si>
    <t>857 nm</t>
  </si>
  <si>
    <t>Yb:YLF Extractor</t>
  </si>
  <si>
    <t>980 nm</t>
  </si>
  <si>
    <t>Cr:LiSAF Extractor</t>
  </si>
  <si>
    <t>750 nm</t>
  </si>
  <si>
    <t>Semiconductor Extractor</t>
  </si>
  <si>
    <t>840 nm</t>
  </si>
  <si>
    <t>Laser</t>
  </si>
  <si>
    <t>1080 nm</t>
  </si>
  <si>
    <t>Laser Power</t>
  </si>
  <si>
    <t>Heat Removed</t>
  </si>
  <si>
    <t>Chip + Cooling Power</t>
  </si>
  <si>
    <t>Total Chip Power</t>
  </si>
  <si>
    <t>Conventional Power Cost to Cool</t>
  </si>
  <si>
    <t>eta_laser</t>
  </si>
  <si>
    <t>eta_LPC</t>
  </si>
  <si>
    <t>eta_aSF</t>
  </si>
  <si>
    <t>eta_PCP</t>
  </si>
  <si>
    <t>Net Power Used To Cool Chips</t>
  </si>
  <si>
    <t>Net Power + Recovered</t>
  </si>
  <si>
    <t>P_used</t>
  </si>
  <si>
    <t>Check Total Laser Power</t>
  </si>
  <si>
    <t>P_removed</t>
  </si>
  <si>
    <t>SUM(J18:J19)</t>
  </si>
  <si>
    <t>Check Total Recovered Power</t>
  </si>
  <si>
    <t>P_rec</t>
  </si>
  <si>
    <t>Power Spent Beyond Conventional</t>
  </si>
  <si>
    <t>eta_LPC * (1 + eta_ASF) * eta_laser * P_laser</t>
  </si>
  <si>
    <t>Laser Power Converters</t>
  </si>
  <si>
    <t>Performance increase</t>
  </si>
  <si>
    <t>\text{Perf}(P)\;=\;\Big(\frac{P}{100}\Big)^{\beta}\;\times\;\eta_{\text{bw}}(P)\;\times\;\eta_{\text{active}}</t>
  </si>
  <si>
    <t>Peak band (±10 nm)</t>
  </si>
  <si>
    <t>Best demonstrated electrical efficiency</t>
  </si>
  <si>
    <t>Representative device &amp; notes</t>
  </si>
  <si>
    <t>Key test conditions</t>
  </si>
  <si>
    <t>Column 7</t>
  </si>
  <si>
    <t>Credible theoretical potential (≈300 K, aggressive PR optics &amp; low Rs)</t>
  </si>
  <si>
    <t>Sources</t>
  </si>
  <si>
    <t>800 nm (≈790–810)</t>
  </si>
  <si>
    <t>64.9% @ 808 nm</t>
  </si>
  <si>
    <t>GaAs multijunction LPC (industrial class) with excellent photon-recycling optics</t>
  </si>
  <si>
    <t>Monochromatic 808 nm, ~7 W optical in (room-T)</t>
  </si>
  <si>
    <t>≈80% plausible at 850-ish tuning in GaAs with high radiative efficiency, strong photon recycling, and low series resistance; cryo demos already show 74.7% @ 808 nm (~150 K)</t>
  </si>
  <si>
    <t>Fraction above Breakeven Point</t>
  </si>
  <si>
    <t>850 nm (≈840–860)</t>
  </si>
  <si>
    <t>68.9% @ 858 nm</t>
  </si>
  <si>
    <t>Thin-film GaAs rear-heterojunction with resonant photon-recycling cavity (Fraunhofer ISE)</t>
  </si>
  <si>
    <t>858 nm; ~11.4 W cm⁻²; room-T</t>
  </si>
  <si>
    <t>≈80% (GaAs S-PVLPC limit ~80%) under monochromatic illumination at/near bandgap with superb PR optics and minimal non-radiative/ohmic loss</t>
  </si>
  <si>
    <t>980 nm (≈970–990)</t>
  </si>
  <si>
    <t>≈48.9% @ ~980 nm (to 22 W out)</t>
  </si>
  <si>
    <t>InGaAs/GaAs-based multijunction PPC (high-power class)</t>
  </si>
  <si>
    <t>~980 nm; high irradiance; room-T</t>
  </si>
  <si>
    <t>≈55–60% with improved InGaAs design (junction count, PR optics, lower Rs); present literature does not support ≥80% at 300 K for 980 nm</t>
  </si>
  <si>
    <t>525 nm</t>
  </si>
  <si>
    <t>Modeled 84.6–87.4%</t>
  </si>
  <si>
    <t>3C-SiC VEHSA/vLPC architectures (theory)</t>
  </si>
  <si>
    <t>~525 nm (set near 3C-SiC Eg ≈ 2.36 eV); high power densities (up to kW cm⁻²), idealized low-loss stacks</t>
  </si>
  <si>
    <t>≈85–87% (modeled) — not an experimental record; included here per your request as a “what’s possible” reference point (visible, not NIR)</t>
  </si>
  <si>
    <t>P_tot_w_rec</t>
  </si>
  <si>
    <t>Laser Efficiency</t>
  </si>
  <si>
    <t>Lasers</t>
  </si>
  <si>
    <t>Demonstrated</t>
  </si>
  <si>
    <t>Theory</t>
  </si>
  <si>
    <t>Breakeven</t>
  </si>
  <si>
    <t>Region Tiles (count) Area (mm²) Power (W)</t>
  </si>
  <si>
    <t>Full Die 48,400 484.00 400.0</t>
  </si>
  <si>
    <t>Background 43,776 437.76 80.0</t>
  </si>
  <si>
    <t>Single Core 289 2.89 20.0</t>
  </si>
  <si>
    <t>Single FU 4 0.04 18.0</t>
  </si>
  <si>
    <t>All Cores 4,624 46.24 320.0</t>
  </si>
  <si>
    <t>All FUs 64 0.64 288.0</t>
  </si>
  <si>
    <t>With Laser</t>
  </si>
  <si>
    <t>Chip Power (W)</t>
  </si>
  <si>
    <t>Hotspot Power (W)</t>
  </si>
  <si>
    <t>Background Power (W)</t>
  </si>
  <si>
    <t>Airflow (CFM)</t>
  </si>
  <si>
    <t>Fan Power (W)</t>
  </si>
  <si>
    <t>Without Laser dT=10K</t>
  </si>
  <si>
    <t>Without Laser dT=50K</t>
  </si>
  <si>
    <r>
      <t xml:space="preserve">Demonstrated 64.9% context &amp; multi-J records; cryo 74.7% demo; PVSC modeling projecting &gt;80% with design moves. </t>
    </r>
    <r>
      <rPr>
        <u/>
        <sz val="10"/>
        <color rgb="FF1155CC"/>
        <rFont val="Arial"/>
      </rPr>
      <t>Krich Lab</t>
    </r>
    <r>
      <rPr>
        <u/>
        <sz val="10"/>
        <color rgb="FF1155CC"/>
        <rFont val="Arial"/>
      </rPr>
      <t>+3</t>
    </r>
    <r>
      <rPr>
        <u/>
        <sz val="10"/>
        <color rgb="FF1155CC"/>
        <rFont val="Arial"/>
      </rPr>
      <t>AIP Publishing</t>
    </r>
    <r>
      <rPr>
        <u/>
        <sz val="10"/>
        <color rgb="FF1155CC"/>
        <rFont val="Arial"/>
      </rPr>
      <t>+3</t>
    </r>
    <r>
      <rPr>
        <u/>
        <sz val="10"/>
        <color rgb="FF1155CC"/>
        <rFont val="Arial"/>
      </rPr>
      <t>SciSpace</t>
    </r>
    <r>
      <rPr>
        <u/>
        <sz val="10"/>
        <color rgb="FF1155CC"/>
        <rFont val="Arial"/>
      </rPr>
      <t>+3</t>
    </r>
  </si>
  <si>
    <r>
      <t xml:space="preserve">Record announcement/paper; Joule review stating GaAs S-PVLPC limit “around 80%”. </t>
    </r>
    <r>
      <rPr>
        <u/>
        <sz val="10"/>
        <color rgb="FF1155CC"/>
        <rFont val="Arial"/>
      </rPr>
      <t>ise.fraunhofer.de</t>
    </r>
    <r>
      <rPr>
        <u/>
        <sz val="10"/>
        <color rgb="FF1155CC"/>
        <rFont val="Arial"/>
      </rPr>
      <t>+2</t>
    </r>
    <r>
      <rPr>
        <u/>
        <sz val="10"/>
        <color rgb="FF1155CC"/>
        <rFont val="Arial"/>
      </rPr>
      <t>publica.fraunhofer.de</t>
    </r>
    <r>
      <rPr>
        <u/>
        <sz val="10"/>
        <color rgb="FF1155CC"/>
        <rFont val="Arial"/>
      </rPr>
      <t>+2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ScienceDirect</t>
    </r>
  </si>
  <si>
    <r>
      <t xml:space="preserve">Perspective reporting 48.9%@980 nm/22 W; additional overviews consistent with sub-60% expectations. </t>
    </r>
    <r>
      <rPr>
        <u/>
        <sz val="10"/>
        <color rgb="FF1155CC"/>
        <rFont val="Arial"/>
      </rPr>
      <t>AIP Publishing</t>
    </r>
    <r>
      <rPr>
        <u/>
        <sz val="10"/>
        <color rgb="FF1155CC"/>
        <rFont val="Arial"/>
      </rPr>
      <t>+2</t>
    </r>
    <r>
      <rPr>
        <u/>
        <sz val="10"/>
        <color rgb="FF1155CC"/>
        <rFont val="Arial"/>
      </rPr>
      <t>SciSpace</t>
    </r>
    <r>
      <rPr>
        <u/>
        <sz val="10"/>
        <color rgb="FF1155CC"/>
        <rFont val="Arial"/>
      </rPr>
      <t>+2</t>
    </r>
  </si>
  <si>
    <r>
      <t xml:space="preserve">SiC VEHSA 2024 (Results in Engineering) and 3C-SiC Solar RRL paper (explicit 525 nm optimum; up to 87.4% modeled). </t>
    </r>
    <r>
      <rPr>
        <u/>
        <sz val="10"/>
        <color rgb="FF1155CC"/>
        <rFont val="Arial"/>
      </rPr>
      <t>ScienceDirect</t>
    </r>
    <r>
      <rPr>
        <u/>
        <sz val="10"/>
        <color rgb="FF1155CC"/>
        <rFont val="Arial"/>
      </rPr>
      <t>+1</t>
    </r>
  </si>
  <si>
    <t>Parameter</t>
  </si>
  <si>
    <t>Efficiency Paramters</t>
  </si>
  <si>
    <t>Extractor</t>
  </si>
  <si>
    <t>Power Analysis</t>
  </si>
  <si>
    <t>P used</t>
  </si>
  <si>
    <t>P removed</t>
  </si>
  <si>
    <t>Breakeven with 0 cooling costs (44% asf)</t>
  </si>
  <si>
    <t>Breakeven with cooling costs (32% asf)</t>
  </si>
  <si>
    <t>R101 Extractor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</si>
</sst>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  <scheme val="minor"/>
    </font>
    <font>
      <u/>
      <sz val="10"/>
      <color rgb="FF0000FF"/>
      <name val="Roboto"/>
    </font>
    <font>
      <u/>
      <sz val="10"/>
      <color rgb="FF1155CC"/>
      <name val="Arial"/>
    </font>
  </fonts>
  <fills count="15">
    <fill>
      <patternFill patternType="none"/>
    </fill>
    <fill>
      <patternFill patternType="gray125"/>
    </fill>
    <fill>
      <patternFill patternType="solid">
        <fgColor rgb="FFEECDCD"/>
        <bgColor rgb="FFEECDCD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3E1F1"/>
        <bgColor rgb="FFD3E1F1"/>
      </patternFill>
    </fill>
    <fill>
      <patternFill patternType="solid">
        <fgColor rgb="FFF8E6D0"/>
        <bgColor rgb="FFF8E6D0"/>
      </patternFill>
    </fill>
    <fill>
      <patternFill patternType="solid">
        <fgColor rgb="FFFFFF54"/>
        <bgColor rgb="FFFFFF54"/>
      </patternFill>
    </fill>
    <fill>
      <patternFill patternType="solid">
        <fgColor rgb="FF75FB4C"/>
        <bgColor rgb="FF75FB4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2" fillId="0" borderId="4" xfId="0" applyFont="1" applyBorder="1"/>
    <xf numFmtId="9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  <xf numFmtId="0" fontId="1" fillId="0" borderId="4" xfId="0" applyFont="1" applyBorder="1"/>
    <xf numFmtId="1" fontId="2" fillId="0" borderId="5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2" fontId="2" fillId="0" borderId="6" xfId="0" applyNumberFormat="1" applyFont="1" applyBorder="1"/>
    <xf numFmtId="3" fontId="2" fillId="0" borderId="5" xfId="0" applyNumberFormat="1" applyFont="1" applyBorder="1"/>
    <xf numFmtId="2" fontId="2" fillId="0" borderId="4" xfId="0" applyNumberFormat="1" applyFont="1" applyBorder="1"/>
    <xf numFmtId="0" fontId="1" fillId="0" borderId="6" xfId="0" applyFont="1" applyBorder="1"/>
    <xf numFmtId="2" fontId="3" fillId="0" borderId="6" xfId="0" applyNumberFormat="1" applyFont="1" applyBorder="1" applyAlignment="1">
      <alignment horizontal="right"/>
    </xf>
    <xf numFmtId="3" fontId="1" fillId="0" borderId="5" xfId="0" applyNumberFormat="1" applyFont="1" applyBorder="1"/>
    <xf numFmtId="0" fontId="2" fillId="0" borderId="1" xfId="0" applyFont="1" applyBorder="1"/>
    <xf numFmtId="0" fontId="4" fillId="0" borderId="6" xfId="0" applyFont="1" applyBorder="1" applyAlignment="1">
      <alignment horizontal="right"/>
    </xf>
    <xf numFmtId="0" fontId="2" fillId="0" borderId="3" xfId="0" applyFont="1" applyBorder="1"/>
    <xf numFmtId="0" fontId="2" fillId="0" borderId="10" xfId="0" applyFont="1" applyBorder="1"/>
    <xf numFmtId="0" fontId="2" fillId="0" borderId="11" xfId="0" applyFont="1" applyBorder="1"/>
    <xf numFmtId="3" fontId="2" fillId="0" borderId="8" xfId="0" applyNumberFormat="1" applyFont="1" applyBorder="1"/>
    <xf numFmtId="2" fontId="2" fillId="0" borderId="13" xfId="0" applyNumberFormat="1" applyFont="1" applyBorder="1"/>
    <xf numFmtId="0" fontId="2" fillId="0" borderId="13" xfId="0" applyFont="1" applyBorder="1"/>
    <xf numFmtId="2" fontId="2" fillId="0" borderId="9" xfId="0" applyNumberFormat="1" applyFont="1" applyBorder="1"/>
    <xf numFmtId="0" fontId="5" fillId="0" borderId="4" xfId="0" applyFont="1" applyBorder="1"/>
    <xf numFmtId="0" fontId="2" fillId="0" borderId="14" xfId="0" applyFont="1" applyBorder="1"/>
    <xf numFmtId="3" fontId="5" fillId="0" borderId="5" xfId="0" applyNumberFormat="1" applyFont="1" applyBorder="1"/>
    <xf numFmtId="2" fontId="2" fillId="0" borderId="5" xfId="0" applyNumberFormat="1" applyFont="1" applyBorder="1"/>
    <xf numFmtId="0" fontId="2" fillId="0" borderId="12" xfId="0" applyFont="1" applyBorder="1"/>
    <xf numFmtId="3" fontId="2" fillId="0" borderId="10" xfId="0" applyNumberFormat="1" applyFont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3" fontId="2" fillId="0" borderId="14" xfId="0" applyNumberFormat="1" applyFont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2" fillId="5" borderId="13" xfId="0" applyFont="1" applyFill="1" applyBorder="1"/>
    <xf numFmtId="2" fontId="2" fillId="6" borderId="6" xfId="0" applyNumberFormat="1" applyFont="1" applyFill="1" applyBorder="1"/>
    <xf numFmtId="2" fontId="2" fillId="6" borderId="4" xfId="0" applyNumberFormat="1" applyFont="1" applyFill="1" applyBorder="1"/>
    <xf numFmtId="0" fontId="2" fillId="7" borderId="7" xfId="0" applyFont="1" applyFill="1" applyBorder="1"/>
    <xf numFmtId="0" fontId="2" fillId="6" borderId="6" xfId="0" applyFont="1" applyFill="1" applyBorder="1"/>
    <xf numFmtId="3" fontId="2" fillId="7" borderId="15" xfId="0" applyNumberFormat="1" applyFont="1" applyFill="1" applyBorder="1"/>
    <xf numFmtId="0" fontId="2" fillId="0" borderId="0" xfId="0" applyFont="1"/>
    <xf numFmtId="0" fontId="2" fillId="0" borderId="15" xfId="0" applyFont="1" applyBorder="1"/>
    <xf numFmtId="0" fontId="2" fillId="0" borderId="0" xfId="0" applyFont="1" applyAlignment="1">
      <alignment horizontal="left" vertical="center"/>
    </xf>
    <xf numFmtId="3" fontId="2" fillId="0" borderId="0" xfId="0" applyNumberFormat="1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2" fillId="4" borderId="5" xfId="0" applyNumberFormat="1" applyFont="1" applyFill="1" applyBorder="1"/>
    <xf numFmtId="3" fontId="2" fillId="5" borderId="12" xfId="0" applyNumberFormat="1" applyFont="1" applyFill="1" applyBorder="1"/>
    <xf numFmtId="2" fontId="2" fillId="6" borderId="12" xfId="0" applyNumberFormat="1" applyFont="1" applyFill="1" applyBorder="1"/>
    <xf numFmtId="9" fontId="2" fillId="0" borderId="10" xfId="0" applyNumberFormat="1" applyFont="1" applyBorder="1"/>
    <xf numFmtId="2" fontId="2" fillId="6" borderId="13" xfId="0" applyNumberFormat="1" applyFont="1" applyFill="1" applyBorder="1"/>
    <xf numFmtId="9" fontId="2" fillId="0" borderId="0" xfId="0" applyNumberFormat="1" applyFont="1"/>
    <xf numFmtId="3" fontId="2" fillId="6" borderId="5" xfId="0" applyNumberFormat="1" applyFont="1" applyFill="1" applyBorder="1"/>
    <xf numFmtId="9" fontId="2" fillId="0" borderId="14" xfId="0" applyNumberFormat="1" applyFont="1" applyBorder="1"/>
    <xf numFmtId="2" fontId="2" fillId="6" borderId="11" xfId="0" applyNumberFormat="1" applyFont="1" applyFill="1" applyBorder="1"/>
    <xf numFmtId="0" fontId="1" fillId="0" borderId="0" xfId="0" applyFont="1" applyAlignment="1">
      <alignment horizontal="center"/>
    </xf>
    <xf numFmtId="4" fontId="2" fillId="0" borderId="0" xfId="0" applyNumberFormat="1" applyFont="1"/>
    <xf numFmtId="0" fontId="2" fillId="8" borderId="7" xfId="0" applyFont="1" applyFill="1" applyBorder="1"/>
    <xf numFmtId="3" fontId="2" fillId="8" borderId="15" xfId="0" applyNumberFormat="1" applyFont="1" applyFill="1" applyBorder="1"/>
    <xf numFmtId="0" fontId="2" fillId="9" borderId="7" xfId="0" applyFont="1" applyFill="1" applyBorder="1"/>
    <xf numFmtId="3" fontId="2" fillId="9" borderId="15" xfId="0" applyNumberFormat="1" applyFont="1" applyFill="1" applyBorder="1"/>
    <xf numFmtId="0" fontId="2" fillId="9" borderId="0" xfId="0" applyFont="1" applyFill="1"/>
    <xf numFmtId="0" fontId="4" fillId="2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2" fontId="3" fillId="0" borderId="4" xfId="0" applyNumberFormat="1" applyFont="1" applyBorder="1"/>
    <xf numFmtId="9" fontId="3" fillId="0" borderId="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" fontId="3" fillId="0" borderId="5" xfId="0" applyNumberFormat="1" applyFont="1" applyBorder="1"/>
    <xf numFmtId="3" fontId="3" fillId="0" borderId="5" xfId="0" applyNumberFormat="1" applyFont="1" applyBorder="1"/>
    <xf numFmtId="0" fontId="3" fillId="0" borderId="5" xfId="0" applyFont="1" applyBorder="1" applyAlignment="1">
      <alignment horizontal="right"/>
    </xf>
    <xf numFmtId="1" fontId="3" fillId="0" borderId="5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0" fontId="3" fillId="0" borderId="7" xfId="0" applyFont="1" applyBorder="1"/>
    <xf numFmtId="3" fontId="3" fillId="0" borderId="8" xfId="0" applyNumberFormat="1" applyFont="1" applyBorder="1" applyAlignment="1">
      <alignment horizontal="right"/>
    </xf>
    <xf numFmtId="0" fontId="3" fillId="0" borderId="1" xfId="0" applyFont="1" applyBorder="1"/>
    <xf numFmtId="3" fontId="3" fillId="0" borderId="10" xfId="0" applyNumberFormat="1" applyFont="1" applyBorder="1" applyAlignment="1">
      <alignment horizontal="right"/>
    </xf>
    <xf numFmtId="0" fontId="3" fillId="0" borderId="11" xfId="0" applyFont="1" applyBorder="1"/>
    <xf numFmtId="3" fontId="3" fillId="0" borderId="14" xfId="0" applyNumberFormat="1" applyFont="1" applyBorder="1" applyAlignment="1">
      <alignment horizontal="right"/>
    </xf>
    <xf numFmtId="0" fontId="3" fillId="8" borderId="7" xfId="0" applyFont="1" applyFill="1" applyBorder="1"/>
    <xf numFmtId="3" fontId="3" fillId="8" borderId="15" xfId="0" applyNumberFormat="1" applyFont="1" applyFill="1" applyBorder="1" applyAlignment="1">
      <alignment horizontal="right"/>
    </xf>
    <xf numFmtId="0" fontId="3" fillId="9" borderId="7" xfId="0" applyFont="1" applyFill="1" applyBorder="1"/>
    <xf numFmtId="3" fontId="3" fillId="9" borderId="15" xfId="0" applyNumberFormat="1" applyFont="1" applyFill="1" applyBorder="1" applyAlignment="1">
      <alignment horizontal="right"/>
    </xf>
    <xf numFmtId="0" fontId="3" fillId="7" borderId="7" xfId="0" applyFont="1" applyFill="1" applyBorder="1"/>
    <xf numFmtId="3" fontId="3" fillId="7" borderId="15" xfId="0" applyNumberFormat="1" applyFont="1" applyFill="1" applyBorder="1" applyAlignment="1">
      <alignment horizontal="right"/>
    </xf>
    <xf numFmtId="2" fontId="3" fillId="0" borderId="5" xfId="0" applyNumberFormat="1" applyFont="1" applyBorder="1"/>
    <xf numFmtId="3" fontId="3" fillId="0" borderId="0" xfId="0" applyNumberFormat="1" applyFont="1"/>
    <xf numFmtId="2" fontId="3" fillId="0" borderId="5" xfId="0" applyNumberFormat="1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4" borderId="4" xfId="0" applyFont="1" applyFill="1" applyBorder="1"/>
    <xf numFmtId="0" fontId="3" fillId="4" borderId="5" xfId="0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5" borderId="11" xfId="0" applyFont="1" applyFill="1" applyBorder="1"/>
    <xf numFmtId="0" fontId="3" fillId="5" borderId="12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3" fontId="3" fillId="5" borderId="12" xfId="0" applyNumberFormat="1" applyFont="1" applyFill="1" applyBorder="1" applyAlignment="1">
      <alignment horizontal="right"/>
    </xf>
    <xf numFmtId="2" fontId="3" fillId="6" borderId="4" xfId="0" applyNumberFormat="1" applyFont="1" applyFill="1" applyBorder="1"/>
    <xf numFmtId="2" fontId="3" fillId="6" borderId="12" xfId="0" applyNumberFormat="1" applyFont="1" applyFill="1" applyBorder="1" applyAlignment="1">
      <alignment horizontal="right"/>
    </xf>
    <xf numFmtId="3" fontId="3" fillId="6" borderId="5" xfId="0" applyNumberFormat="1" applyFont="1" applyFill="1" applyBorder="1" applyAlignment="1">
      <alignment horizontal="right"/>
    </xf>
    <xf numFmtId="0" fontId="4" fillId="3" borderId="8" xfId="0" applyFont="1" applyFill="1" applyBorder="1" applyAlignment="1">
      <alignment horizontal="center"/>
    </xf>
    <xf numFmtId="0" fontId="4" fillId="2" borderId="7" xfId="0" applyFont="1" applyFill="1" applyBorder="1"/>
    <xf numFmtId="0" fontId="4" fillId="3" borderId="7" xfId="0" applyFont="1" applyFill="1" applyBorder="1"/>
    <xf numFmtId="0" fontId="4" fillId="10" borderId="8" xfId="0" applyFont="1" applyFill="1" applyBorder="1" applyAlignment="1">
      <alignment horizontal="center"/>
    </xf>
    <xf numFmtId="0" fontId="2" fillId="11" borderId="7" xfId="0" applyFont="1" applyFill="1" applyBorder="1"/>
    <xf numFmtId="9" fontId="3" fillId="0" borderId="4" xfId="0" applyNumberFormat="1" applyFont="1" applyBorder="1" applyAlignment="1">
      <alignment horizontal="center"/>
    </xf>
    <xf numFmtId="0" fontId="3" fillId="11" borderId="7" xfId="0" applyFont="1" applyFill="1" applyBorder="1"/>
    <xf numFmtId="1" fontId="3" fillId="11" borderId="7" xfId="0" applyNumberFormat="1" applyFont="1" applyFill="1" applyBorder="1"/>
    <xf numFmtId="3" fontId="3" fillId="11" borderId="7" xfId="0" applyNumberFormat="1" applyFont="1" applyFill="1" applyBorder="1"/>
    <xf numFmtId="0" fontId="3" fillId="0" borderId="4" xfId="0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4" fillId="0" borderId="2" xfId="0" applyFont="1" applyBorder="1"/>
    <xf numFmtId="3" fontId="4" fillId="12" borderId="10" xfId="0" applyNumberFormat="1" applyFont="1" applyFill="1" applyBorder="1" applyAlignment="1">
      <alignment horizontal="right"/>
    </xf>
    <xf numFmtId="3" fontId="4" fillId="13" borderId="10" xfId="0" applyNumberFormat="1" applyFont="1" applyFill="1" applyBorder="1" applyAlignment="1">
      <alignment horizontal="right"/>
    </xf>
    <xf numFmtId="3" fontId="4" fillId="14" borderId="3" xfId="0" applyNumberFormat="1" applyFont="1" applyFill="1" applyBorder="1" applyAlignment="1">
      <alignment horizontal="right"/>
    </xf>
    <xf numFmtId="0" fontId="4" fillId="0" borderId="12" xfId="0" applyFont="1" applyBorder="1"/>
    <xf numFmtId="3" fontId="4" fillId="8" borderId="14" xfId="0" applyNumberFormat="1" applyFont="1" applyFill="1" applyBorder="1" applyAlignment="1">
      <alignment horizontal="right"/>
    </xf>
    <xf numFmtId="3" fontId="4" fillId="9" borderId="14" xfId="0" applyNumberFormat="1" applyFont="1" applyFill="1" applyBorder="1" applyAlignment="1">
      <alignment horizontal="right"/>
    </xf>
    <xf numFmtId="3" fontId="4" fillId="7" borderId="13" xfId="0" applyNumberFormat="1" applyFont="1" applyFill="1" applyBorder="1" applyAlignment="1">
      <alignment horizontal="right"/>
    </xf>
    <xf numFmtId="0" fontId="4" fillId="0" borderId="5" xfId="0" applyFont="1" applyBorder="1"/>
    <xf numFmtId="0" fontId="4" fillId="0" borderId="4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</cellXfs>
  <cellStyles count="1">
    <cellStyle name="Normal" xfId="0" builtinId="0"/>
  </cellStyles>
  <dxfs count="2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Fixed Hotspot Cooling TDP Scali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 Summary with Chip TDP Scaling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Summary with Fixed TDP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MXL Cooling DC Scaling-style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XL Cooling DC Scaling v2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MXL Cooling DC Scaling-style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_6" displayName="Table1_6" ref="A47:G51">
  <tableColumns count="7">
    <tableColumn id="1" xr3:uid="{00000000-0010-0000-0400-000001000000}" name="Peak band (±10 nm)"/>
    <tableColumn id="2" xr3:uid="{00000000-0010-0000-0400-000002000000}" name="Best demonstrated electrical efficiency"/>
    <tableColumn id="3" xr3:uid="{00000000-0010-0000-0400-000003000000}" name="Representative device &amp; notes"/>
    <tableColumn id="4" xr3:uid="{00000000-0010-0000-0400-000004000000}" name="Column 7"/>
    <tableColumn id="5" xr3:uid="{00000000-0010-0000-0400-000005000000}" name="Key test conditions"/>
    <tableColumn id="6" xr3:uid="{00000000-0010-0000-0400-000006000000}" name="Credible theoretical potential (≈300 K, aggressive PR optics &amp; low Rs)"/>
    <tableColumn id="7" xr3:uid="{00000000-0010-0000-0400-000007000000}" name="Sources"/>
  </tableColumns>
  <tableStyleInfo name="MXL Cooling DC Scaling v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ip.org/aip/jap/article/130/16/160901/568170/Perspective-on-photovoltaic-optical-power?utm_source=chatgpt.com" TargetMode="External"/><Relationship Id="rId2" Type="http://schemas.openxmlformats.org/officeDocument/2006/relationships/hyperlink" Target="https://www.ise.fraunhofer.de/en/press-media/press-releases/2021/record-efficiency-68-9-percent-for-gaas-thin-film-photovoltaic-cell.html?utm_source=chatgpt.com" TargetMode="External"/><Relationship Id="rId1" Type="http://schemas.openxmlformats.org/officeDocument/2006/relationships/hyperlink" Target="https://pubs.aip.org/aip/jap/article/130/16/160901/568170/Perspective-on-photovoltaic-optical-power?utm_source=chatgpt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sciencedirect.com/science/article/pii/S2590123024002408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7:L170"/>
  <sheetViews>
    <sheetView tabSelected="1" workbookViewId="0">
      <selection activeCell="I4" sqref="I4"/>
    </sheetView>
  </sheetViews>
  <sheetFormatPr defaultColWidth="12.59765625" defaultRowHeight="15.75" customHeight="1" x14ac:dyDescent="0.35"/>
  <cols>
    <col min="1" max="1" width="32.73046875" customWidth="1"/>
    <col min="2" max="2" width="20" customWidth="1"/>
    <col min="3" max="3" width="24.265625" customWidth="1"/>
    <col min="4" max="4" width="17.86328125" customWidth="1"/>
    <col min="5" max="5" width="32.46484375" customWidth="1"/>
    <col min="6" max="6" width="21.265625" customWidth="1"/>
    <col min="7" max="7" width="20.59765625" customWidth="1"/>
    <col min="8" max="8" width="19.46484375" customWidth="1"/>
    <col min="9" max="9" width="29.1328125" customWidth="1"/>
    <col min="10" max="10" width="26.3984375" customWidth="1"/>
    <col min="11" max="11" width="16.59765625" customWidth="1"/>
    <col min="12" max="12" width="17.73046875" customWidth="1"/>
  </cols>
  <sheetData>
    <row r="7" spans="1:12" ht="13.15" x14ac:dyDescent="0.4">
      <c r="A7" s="1" t="s">
        <v>0</v>
      </c>
      <c r="B7" s="2" t="s">
        <v>1</v>
      </c>
      <c r="C7" s="3" t="s">
        <v>2</v>
      </c>
      <c r="D7" s="3"/>
      <c r="E7" s="4" t="s">
        <v>3</v>
      </c>
      <c r="F7" s="2" t="s">
        <v>1</v>
      </c>
      <c r="G7" s="3" t="s">
        <v>2</v>
      </c>
      <c r="H7" s="3"/>
      <c r="I7" s="4" t="s">
        <v>4</v>
      </c>
      <c r="J7" s="5" t="s">
        <v>1</v>
      </c>
      <c r="K7" s="3" t="s">
        <v>5</v>
      </c>
      <c r="L7" s="4"/>
    </row>
    <row r="8" spans="1:12" ht="12.75" x14ac:dyDescent="0.35">
      <c r="A8" s="6" t="s">
        <v>6</v>
      </c>
      <c r="B8" s="7">
        <v>0.8</v>
      </c>
      <c r="C8" s="8">
        <v>975</v>
      </c>
      <c r="D8" s="9"/>
      <c r="E8" s="6" t="s">
        <v>6</v>
      </c>
      <c r="F8" s="7">
        <v>0.87</v>
      </c>
      <c r="G8" s="8" t="s">
        <v>7</v>
      </c>
      <c r="H8" s="9"/>
      <c r="I8" s="6" t="s">
        <v>6</v>
      </c>
      <c r="J8" s="7">
        <v>0.92</v>
      </c>
      <c r="K8" s="8" t="s">
        <v>7</v>
      </c>
      <c r="L8" s="6"/>
    </row>
    <row r="9" spans="1:12" ht="12.75" x14ac:dyDescent="0.35">
      <c r="A9" s="6" t="s">
        <v>8</v>
      </c>
      <c r="B9" s="7">
        <v>0.1</v>
      </c>
      <c r="C9" s="8" t="s">
        <v>9</v>
      </c>
      <c r="D9" s="9"/>
      <c r="E9" s="6" t="s">
        <v>99</v>
      </c>
      <c r="F9" s="7">
        <v>0.33</v>
      </c>
      <c r="G9" s="8" t="s">
        <v>11</v>
      </c>
      <c r="H9" s="9"/>
      <c r="I9" s="6" t="s">
        <v>12</v>
      </c>
      <c r="J9" s="7">
        <v>0.62</v>
      </c>
      <c r="K9" s="8" t="s">
        <v>13</v>
      </c>
      <c r="L9" s="6"/>
    </row>
    <row r="10" spans="1:12" ht="12.75" x14ac:dyDescent="0.35">
      <c r="A10" s="6" t="s">
        <v>14</v>
      </c>
      <c r="B10" s="7">
        <v>0.73</v>
      </c>
      <c r="C10" s="8" t="s">
        <v>15</v>
      </c>
      <c r="D10" s="9"/>
      <c r="E10" s="6" t="s">
        <v>14</v>
      </c>
      <c r="F10" s="7">
        <v>0.74</v>
      </c>
      <c r="G10" s="8" t="s">
        <v>15</v>
      </c>
      <c r="H10" s="9"/>
      <c r="I10" s="6" t="s">
        <v>14</v>
      </c>
      <c r="J10" s="7">
        <v>0.85</v>
      </c>
      <c r="K10" s="8" t="s">
        <v>9</v>
      </c>
      <c r="L10" s="6"/>
    </row>
    <row r="11" spans="1:12" ht="12.75" x14ac:dyDescent="0.35">
      <c r="A11" s="6"/>
      <c r="B11" s="10"/>
      <c r="C11" s="9"/>
      <c r="D11" s="9"/>
      <c r="E11" s="6"/>
      <c r="F11" s="10"/>
      <c r="G11" s="9"/>
      <c r="H11" s="9"/>
      <c r="I11" s="6"/>
      <c r="J11" s="10"/>
      <c r="K11" s="9"/>
      <c r="L11" s="6"/>
    </row>
    <row r="12" spans="1:12" ht="13.15" x14ac:dyDescent="0.4">
      <c r="A12" s="11"/>
      <c r="B12" s="10"/>
      <c r="C12" s="9"/>
      <c r="E12" s="11"/>
      <c r="F12" s="12"/>
      <c r="G12" s="9"/>
      <c r="H12" s="16">
        <f>644/1200</f>
        <v>0.53666666666666663</v>
      </c>
      <c r="I12" s="11"/>
      <c r="J12" s="17"/>
      <c r="K12" s="16"/>
      <c r="L12" s="18">
        <f>925/1074</f>
        <v>0.86126629422718803</v>
      </c>
    </row>
    <row r="13" spans="1:12" ht="12.75" x14ac:dyDescent="0.35">
      <c r="A13" s="6" t="s">
        <v>18</v>
      </c>
      <c r="B13" s="10">
        <v>125</v>
      </c>
      <c r="C13" s="20">
        <f>C14+C15</f>
        <v>1</v>
      </c>
      <c r="D13" s="9">
        <f>288/400</f>
        <v>0.72</v>
      </c>
      <c r="E13" s="6" t="s">
        <v>18</v>
      </c>
      <c r="F13" s="12">
        <v>125</v>
      </c>
      <c r="G13" s="16">
        <f>G14+G15</f>
        <v>1</v>
      </c>
      <c r="H13" s="9"/>
      <c r="I13" s="6" t="s">
        <v>18</v>
      </c>
      <c r="J13" s="17">
        <v>125</v>
      </c>
      <c r="K13" s="16">
        <f>K14+K15</f>
        <v>1</v>
      </c>
      <c r="L13" s="6"/>
    </row>
    <row r="14" spans="1:12" ht="13.15" x14ac:dyDescent="0.4">
      <c r="A14" s="11" t="s">
        <v>19</v>
      </c>
      <c r="B14" s="21">
        <f>B13*C14</f>
        <v>100</v>
      </c>
      <c r="C14" s="23">
        <f>1-C15</f>
        <v>0.8</v>
      </c>
      <c r="D14" s="19"/>
      <c r="E14" s="11" t="s">
        <v>19</v>
      </c>
      <c r="F14" s="21">
        <f>F13*G14</f>
        <v>100</v>
      </c>
      <c r="G14" s="9">
        <f>1-G15</f>
        <v>0.8</v>
      </c>
      <c r="H14" s="19"/>
      <c r="I14" s="11" t="s">
        <v>19</v>
      </c>
      <c r="J14" s="21">
        <f>J13*K14</f>
        <v>100</v>
      </c>
      <c r="K14" s="9">
        <f>1-K15</f>
        <v>0.8</v>
      </c>
      <c r="L14" s="11"/>
    </row>
    <row r="15" spans="1:12" ht="13.15" x14ac:dyDescent="0.4">
      <c r="A15" s="11" t="s">
        <v>20</v>
      </c>
      <c r="B15" s="21">
        <f>C15*B13</f>
        <v>25</v>
      </c>
      <c r="C15" s="23">
        <v>0.2</v>
      </c>
      <c r="D15" s="9"/>
      <c r="E15" s="11" t="s">
        <v>20</v>
      </c>
      <c r="F15" s="21">
        <f>G15*F13</f>
        <v>25</v>
      </c>
      <c r="G15" s="9">
        <v>0.2</v>
      </c>
      <c r="H15" s="9"/>
      <c r="I15" s="11" t="s">
        <v>20</v>
      </c>
      <c r="J15" s="21">
        <f>K15*J13</f>
        <v>25</v>
      </c>
      <c r="K15" s="9">
        <v>0.2</v>
      </c>
      <c r="L15" s="6"/>
    </row>
    <row r="16" spans="1:12" ht="12.75" x14ac:dyDescent="0.35">
      <c r="A16" s="13" t="s">
        <v>16</v>
      </c>
      <c r="B16" s="14">
        <v>1360</v>
      </c>
      <c r="C16" s="15"/>
      <c r="D16" s="15"/>
      <c r="E16" s="13" t="s">
        <v>16</v>
      </c>
      <c r="F16" s="14">
        <v>290</v>
      </c>
      <c r="G16" s="15"/>
      <c r="H16" s="15"/>
      <c r="I16" s="13" t="s">
        <v>16</v>
      </c>
      <c r="J16" s="27">
        <v>190</v>
      </c>
      <c r="K16" s="15"/>
      <c r="L16" s="13"/>
    </row>
    <row r="17" spans="1:12" ht="13.15" x14ac:dyDescent="0.4">
      <c r="A17" s="31" t="s">
        <v>17</v>
      </c>
      <c r="B17" s="33">
        <f>B30</f>
        <v>100.64</v>
      </c>
      <c r="C17" s="9"/>
      <c r="D17" s="19"/>
      <c r="E17" s="31" t="s">
        <v>17</v>
      </c>
      <c r="F17" s="33">
        <f>F30</f>
        <v>73.08</v>
      </c>
      <c r="G17" s="9"/>
      <c r="H17" s="19"/>
      <c r="I17" s="31" t="s">
        <v>17</v>
      </c>
      <c r="J17" s="33">
        <f>J30</f>
        <v>100.13000000000001</v>
      </c>
      <c r="K17" s="9"/>
      <c r="L17" s="11"/>
    </row>
    <row r="18" spans="1:12" ht="13.15" x14ac:dyDescent="0.4">
      <c r="A18" s="11" t="s">
        <v>25</v>
      </c>
      <c r="B18" s="21">
        <f>B29</f>
        <v>474.36799999999982</v>
      </c>
      <c r="C18" s="9"/>
      <c r="D18" s="19"/>
      <c r="E18" s="11" t="s">
        <v>25</v>
      </c>
      <c r="F18" s="21">
        <f>F29</f>
        <v>24.580399999999983</v>
      </c>
      <c r="G18" s="9"/>
      <c r="H18" s="19"/>
      <c r="I18" s="11" t="s">
        <v>25</v>
      </c>
      <c r="J18" s="21">
        <f>J29</f>
        <v>-50.699600000000032</v>
      </c>
      <c r="K18" s="9"/>
      <c r="L18" s="11"/>
    </row>
    <row r="19" spans="1:12" ht="13.15" x14ac:dyDescent="0.4">
      <c r="A19" s="11" t="s">
        <v>26</v>
      </c>
      <c r="B19" s="21">
        <f>B31</f>
        <v>885.63200000000018</v>
      </c>
      <c r="C19" s="9">
        <f>B19/B16</f>
        <v>0.65120000000000011</v>
      </c>
      <c r="D19" s="19"/>
      <c r="E19" s="11" t="s">
        <v>26</v>
      </c>
      <c r="F19" s="21">
        <f>F31</f>
        <v>265.4196</v>
      </c>
      <c r="G19" s="9">
        <f>F19/F16</f>
        <v>0.91524000000000005</v>
      </c>
      <c r="H19" s="19"/>
      <c r="I19" s="11" t="s">
        <v>26</v>
      </c>
      <c r="J19" s="21">
        <f>J31</f>
        <v>240.69960000000003</v>
      </c>
      <c r="K19" s="9">
        <f>J19/J16</f>
        <v>1.2668400000000002</v>
      </c>
      <c r="L19" s="11"/>
    </row>
    <row r="20" spans="1:12" ht="12.75" x14ac:dyDescent="0.35">
      <c r="A20" s="22" t="s">
        <v>28</v>
      </c>
      <c r="B20" s="36">
        <f>SUM(B18:B19)</f>
        <v>1360</v>
      </c>
      <c r="C20" s="24"/>
      <c r="D20" s="24"/>
      <c r="E20" s="22" t="s">
        <v>28</v>
      </c>
      <c r="F20" s="36">
        <f>SUM(F18:F19)</f>
        <v>290</v>
      </c>
      <c r="G20" s="24"/>
      <c r="H20" s="25"/>
      <c r="I20" s="22" t="s">
        <v>28</v>
      </c>
      <c r="J20" s="36">
        <f>SUM(J18:J19)</f>
        <v>190</v>
      </c>
      <c r="K20" s="24"/>
      <c r="L20" s="22" t="s">
        <v>30</v>
      </c>
    </row>
    <row r="21" spans="1:12" ht="12.75" x14ac:dyDescent="0.35">
      <c r="A21" s="26" t="s">
        <v>31</v>
      </c>
      <c r="B21" s="40">
        <f>B16-B19</f>
        <v>474.36799999999982</v>
      </c>
      <c r="C21" s="28"/>
      <c r="D21" s="29"/>
      <c r="E21" s="26" t="s">
        <v>31</v>
      </c>
      <c r="F21" s="40">
        <f>F16-F19</f>
        <v>24.580399999999997</v>
      </c>
      <c r="G21" s="28"/>
      <c r="H21" s="32"/>
      <c r="I21" s="26" t="s">
        <v>31</v>
      </c>
      <c r="J21" s="40">
        <f>J16-J19</f>
        <v>-50.699600000000032</v>
      </c>
      <c r="K21" s="29"/>
      <c r="L21" s="26"/>
    </row>
    <row r="22" spans="1:12" ht="12.75" x14ac:dyDescent="0.35">
      <c r="A22" s="69" t="s">
        <v>33</v>
      </c>
      <c r="B22" s="70">
        <f>B21-B15</f>
        <v>449.36799999999982</v>
      </c>
      <c r="C22" s="30"/>
      <c r="D22" s="15"/>
      <c r="E22" s="71" t="s">
        <v>33</v>
      </c>
      <c r="F22" s="72">
        <f>F21-F15</f>
        <v>-0.41960000000000264</v>
      </c>
      <c r="G22" s="30"/>
      <c r="H22" s="53"/>
      <c r="I22" s="49" t="s">
        <v>33</v>
      </c>
      <c r="J22" s="51">
        <f>J21-J15</f>
        <v>-75.699600000000032</v>
      </c>
      <c r="K22" s="15"/>
      <c r="L22" s="13"/>
    </row>
    <row r="23" spans="1:12" ht="12.75" x14ac:dyDescent="0.35">
      <c r="A23" s="6"/>
      <c r="B23" s="34"/>
      <c r="C23" s="16"/>
      <c r="D23" s="9"/>
      <c r="E23" s="6"/>
      <c r="F23" s="34"/>
      <c r="G23" s="16"/>
      <c r="H23" s="52"/>
      <c r="I23" s="6"/>
      <c r="J23" s="55"/>
      <c r="K23" s="9"/>
      <c r="L23" s="6"/>
    </row>
    <row r="24" spans="1:12" ht="12.75" x14ac:dyDescent="0.35">
      <c r="A24" s="18" t="s">
        <v>21</v>
      </c>
      <c r="B24" s="34">
        <v>0.74</v>
      </c>
      <c r="C24" s="16"/>
      <c r="D24" s="16"/>
      <c r="E24" s="18" t="s">
        <v>21</v>
      </c>
      <c r="F24" s="34">
        <v>0.8</v>
      </c>
      <c r="G24" s="16"/>
      <c r="H24" s="16"/>
      <c r="I24" s="18" t="s">
        <v>21</v>
      </c>
      <c r="J24" s="34">
        <v>0.85</v>
      </c>
      <c r="K24" s="9"/>
      <c r="L24" s="18"/>
    </row>
    <row r="25" spans="1:12" ht="12.75" x14ac:dyDescent="0.35">
      <c r="A25" s="18" t="s">
        <v>22</v>
      </c>
      <c r="B25" s="34">
        <v>0.8</v>
      </c>
      <c r="C25" s="16"/>
      <c r="D25" s="16"/>
      <c r="E25" s="18" t="s">
        <v>22</v>
      </c>
      <c r="F25" s="34">
        <v>0.87</v>
      </c>
      <c r="G25" s="16"/>
      <c r="H25" s="16"/>
      <c r="I25" s="18" t="s">
        <v>22</v>
      </c>
      <c r="J25" s="34">
        <v>0.92</v>
      </c>
      <c r="K25" s="9"/>
      <c r="L25" s="18"/>
    </row>
    <row r="26" spans="1:12" ht="12.75" x14ac:dyDescent="0.35">
      <c r="A26" s="18" t="s">
        <v>23</v>
      </c>
      <c r="B26" s="34">
        <v>0.1</v>
      </c>
      <c r="C26" s="16"/>
      <c r="D26" s="16"/>
      <c r="E26" s="18" t="s">
        <v>23</v>
      </c>
      <c r="F26" s="34">
        <v>0.315</v>
      </c>
      <c r="G26" s="16"/>
      <c r="H26" s="16"/>
      <c r="I26" s="18" t="s">
        <v>23</v>
      </c>
      <c r="J26" s="34">
        <v>0.62</v>
      </c>
      <c r="K26" s="9"/>
      <c r="L26" s="18"/>
    </row>
    <row r="27" spans="1:12" ht="12.75" x14ac:dyDescent="0.35">
      <c r="A27" s="26" t="s">
        <v>24</v>
      </c>
      <c r="B27" s="35">
        <f>B30/B29</f>
        <v>0.21215596330275238</v>
      </c>
      <c r="C27" s="29"/>
      <c r="D27" s="29"/>
      <c r="E27" s="26" t="s">
        <v>24</v>
      </c>
      <c r="F27" s="35">
        <f>F30/F29</f>
        <v>2.9731005191127911</v>
      </c>
      <c r="G27" s="29"/>
      <c r="H27" s="29"/>
      <c r="I27" s="26" t="s">
        <v>24</v>
      </c>
      <c r="J27" s="35">
        <f>J30/(J29)</f>
        <v>-1.9749662719232488</v>
      </c>
      <c r="K27" s="29"/>
      <c r="L27" s="26"/>
    </row>
    <row r="28" spans="1:12" ht="12.75" x14ac:dyDescent="0.35">
      <c r="A28" s="6" t="s">
        <v>50</v>
      </c>
      <c r="B28" s="10">
        <f>B14/B31</f>
        <v>0.11291371585489231</v>
      </c>
      <c r="C28" s="9"/>
      <c r="D28" s="9"/>
      <c r="E28" s="6" t="s">
        <v>50</v>
      </c>
      <c r="F28" s="10">
        <f>F14/F31</f>
        <v>0.37676192715232787</v>
      </c>
      <c r="G28" s="9"/>
      <c r="H28" s="9"/>
      <c r="I28" s="6" t="s">
        <v>50</v>
      </c>
      <c r="J28" s="10">
        <f>J14/J31</f>
        <v>0.41545561355315913</v>
      </c>
      <c r="K28" s="9"/>
      <c r="L28" s="6"/>
    </row>
    <row r="29" spans="1:12" ht="12.75" x14ac:dyDescent="0.35">
      <c r="A29" s="37" t="s">
        <v>27</v>
      </c>
      <c r="B29" s="38">
        <f>(1-B25*(1+B26)*B24)*B16</f>
        <v>474.36799999999982</v>
      </c>
      <c r="C29" s="39"/>
      <c r="D29" s="39"/>
      <c r="E29" s="37" t="s">
        <v>27</v>
      </c>
      <c r="F29" s="38">
        <f>(1-F25*(1+F26)*F24)*F16</f>
        <v>24.580399999999983</v>
      </c>
      <c r="G29" s="39"/>
      <c r="H29" s="39"/>
      <c r="I29" s="37" t="s">
        <v>27</v>
      </c>
      <c r="J29" s="58">
        <f>(1-J25*(1+J26)*J24)*J16</f>
        <v>-50.699600000000032</v>
      </c>
      <c r="K29" s="39"/>
      <c r="L29" s="37"/>
    </row>
    <row r="30" spans="1:12" ht="12.75" x14ac:dyDescent="0.35">
      <c r="A30" s="44" t="s">
        <v>29</v>
      </c>
      <c r="B30" s="45">
        <f>B26*B24*B16</f>
        <v>100.64</v>
      </c>
      <c r="C30" s="46"/>
      <c r="D30" s="43"/>
      <c r="E30" s="44" t="s">
        <v>29</v>
      </c>
      <c r="F30" s="42">
        <f>F26*F24*F16</f>
        <v>73.08</v>
      </c>
      <c r="G30" s="43"/>
      <c r="H30" s="43"/>
      <c r="I30" s="44" t="s">
        <v>29</v>
      </c>
      <c r="J30" s="59">
        <f>J26*J24*J16</f>
        <v>100.13000000000001</v>
      </c>
      <c r="K30" s="46"/>
      <c r="L30" s="41"/>
    </row>
    <row r="31" spans="1:12" ht="12.75" x14ac:dyDescent="0.35">
      <c r="A31" s="48" t="s">
        <v>66</v>
      </c>
      <c r="B31" s="60">
        <f>B25*(1+B26)*B24*B16</f>
        <v>885.63200000000018</v>
      </c>
      <c r="C31" s="47"/>
      <c r="D31" s="47"/>
      <c r="E31" s="48" t="s">
        <v>66</v>
      </c>
      <c r="F31" s="60">
        <f>F25*(1+F26)*F24*F16</f>
        <v>265.4196</v>
      </c>
      <c r="G31" s="62"/>
      <c r="H31" s="47"/>
      <c r="I31" s="48" t="s">
        <v>66</v>
      </c>
      <c r="J31" s="64">
        <f>J25*(1+J26)*J24*J16</f>
        <v>240.69960000000003</v>
      </c>
      <c r="K31" s="50"/>
      <c r="L31" s="66"/>
    </row>
    <row r="33" spans="1:7" ht="12.75" x14ac:dyDescent="0.35">
      <c r="F33" s="73" t="s">
        <v>71</v>
      </c>
    </row>
    <row r="36" spans="1:7" ht="12.75" x14ac:dyDescent="0.35">
      <c r="A36" s="52" t="s">
        <v>32</v>
      </c>
      <c r="B36" s="52" t="s">
        <v>34</v>
      </c>
    </row>
    <row r="38" spans="1:7" ht="12.75" x14ac:dyDescent="0.35">
      <c r="A38" s="52" t="s">
        <v>36</v>
      </c>
      <c r="B38" s="52" t="s">
        <v>37</v>
      </c>
    </row>
    <row r="44" spans="1:7" ht="12.75" x14ac:dyDescent="0.35">
      <c r="A44" s="52" t="s">
        <v>35</v>
      </c>
    </row>
    <row r="47" spans="1:7" ht="22.5" customHeight="1" x14ac:dyDescent="0.35">
      <c r="A47" s="54" t="s">
        <v>38</v>
      </c>
      <c r="B47" s="54" t="s">
        <v>39</v>
      </c>
      <c r="C47" s="54" t="s">
        <v>40</v>
      </c>
      <c r="D47" s="54" t="s">
        <v>42</v>
      </c>
      <c r="E47" s="54" t="s">
        <v>41</v>
      </c>
      <c r="F47" s="54" t="s">
        <v>43</v>
      </c>
      <c r="G47" s="54" t="s">
        <v>44</v>
      </c>
    </row>
    <row r="48" spans="1:7" ht="22.5" customHeight="1" x14ac:dyDescent="0.35">
      <c r="A48" s="56" t="s">
        <v>45</v>
      </c>
      <c r="B48" s="56" t="s">
        <v>46</v>
      </c>
      <c r="C48" s="56" t="s">
        <v>47</v>
      </c>
      <c r="D48" s="56"/>
      <c r="E48" s="56" t="s">
        <v>48</v>
      </c>
      <c r="F48" s="56" t="s">
        <v>49</v>
      </c>
      <c r="G48" s="57" t="s">
        <v>87</v>
      </c>
    </row>
    <row r="49" spans="1:7" ht="22.5" customHeight="1" x14ac:dyDescent="0.35">
      <c r="A49" s="56" t="s">
        <v>51</v>
      </c>
      <c r="B49" s="56" t="s">
        <v>52</v>
      </c>
      <c r="C49" s="56" t="s">
        <v>53</v>
      </c>
      <c r="D49" s="56"/>
      <c r="E49" s="56" t="s">
        <v>54</v>
      </c>
      <c r="F49" s="56" t="s">
        <v>55</v>
      </c>
      <c r="G49" s="57" t="s">
        <v>88</v>
      </c>
    </row>
    <row r="50" spans="1:7" ht="22.5" customHeight="1" x14ac:dyDescent="0.35">
      <c r="A50" s="56" t="s">
        <v>56</v>
      </c>
      <c r="B50" s="56" t="s">
        <v>57</v>
      </c>
      <c r="C50" s="56" t="s">
        <v>58</v>
      </c>
      <c r="D50" s="56"/>
      <c r="E50" s="56" t="s">
        <v>59</v>
      </c>
      <c r="F50" s="56" t="s">
        <v>60</v>
      </c>
      <c r="G50" s="57" t="s">
        <v>89</v>
      </c>
    </row>
    <row r="51" spans="1:7" ht="22.5" customHeight="1" x14ac:dyDescent="0.35">
      <c r="A51" s="56" t="s">
        <v>61</v>
      </c>
      <c r="B51" s="56" t="s">
        <v>62</v>
      </c>
      <c r="C51" s="56" t="s">
        <v>63</v>
      </c>
      <c r="D51" s="56"/>
      <c r="E51" s="56" t="s">
        <v>64</v>
      </c>
      <c r="F51" s="56" t="s">
        <v>65</v>
      </c>
      <c r="G51" s="57" t="s">
        <v>90</v>
      </c>
    </row>
    <row r="54" spans="1:7" ht="12.75" x14ac:dyDescent="0.35">
      <c r="A54" s="52" t="s">
        <v>67</v>
      </c>
    </row>
    <row r="56" spans="1:7" ht="12.75" x14ac:dyDescent="0.35">
      <c r="A56" s="13" t="s">
        <v>68</v>
      </c>
      <c r="B56" s="53" t="s">
        <v>1</v>
      </c>
      <c r="C56" s="15" t="s">
        <v>2</v>
      </c>
    </row>
    <row r="57" spans="1:7" ht="12.75" x14ac:dyDescent="0.35">
      <c r="A57" s="22" t="s">
        <v>69</v>
      </c>
      <c r="B57" s="61">
        <v>0.73</v>
      </c>
      <c r="C57" s="24">
        <v>980</v>
      </c>
    </row>
    <row r="58" spans="1:7" ht="12.75" x14ac:dyDescent="0.35">
      <c r="A58" s="6" t="s">
        <v>69</v>
      </c>
      <c r="B58" s="63">
        <v>0.74</v>
      </c>
      <c r="C58" s="9">
        <v>950</v>
      </c>
    </row>
    <row r="59" spans="1:7" ht="12.75" x14ac:dyDescent="0.35">
      <c r="A59" s="26" t="s">
        <v>70</v>
      </c>
      <c r="B59" s="65">
        <v>0.88</v>
      </c>
      <c r="C59" s="29">
        <v>950</v>
      </c>
    </row>
    <row r="64" spans="1:7" ht="12.75" x14ac:dyDescent="0.35">
      <c r="A64" s="52" t="s">
        <v>72</v>
      </c>
    </row>
    <row r="65" spans="1:5" ht="12.75" x14ac:dyDescent="0.35">
      <c r="A65" s="52" t="s">
        <v>73</v>
      </c>
    </row>
    <row r="66" spans="1:5" ht="12.75" x14ac:dyDescent="0.35">
      <c r="A66" s="52" t="s">
        <v>74</v>
      </c>
    </row>
    <row r="67" spans="1:5" ht="12.75" x14ac:dyDescent="0.35">
      <c r="A67" s="52" t="s">
        <v>75</v>
      </c>
    </row>
    <row r="68" spans="1:5" ht="12.75" x14ac:dyDescent="0.35">
      <c r="A68" s="52" t="s">
        <v>76</v>
      </c>
    </row>
    <row r="69" spans="1:5" ht="12.75" x14ac:dyDescent="0.35">
      <c r="A69" s="52" t="s">
        <v>77</v>
      </c>
    </row>
    <row r="70" spans="1:5" ht="12.75" x14ac:dyDescent="0.35">
      <c r="A70" s="52" t="s">
        <v>78</v>
      </c>
    </row>
    <row r="73" spans="1:5" ht="12.75" x14ac:dyDescent="0.35">
      <c r="A73" s="52" t="s">
        <v>79</v>
      </c>
    </row>
    <row r="74" spans="1:5" ht="13.15" x14ac:dyDescent="0.4">
      <c r="A74" s="67" t="s">
        <v>80</v>
      </c>
      <c r="B74" s="67" t="s">
        <v>81</v>
      </c>
      <c r="C74" s="67" t="s">
        <v>82</v>
      </c>
      <c r="D74" s="67" t="s">
        <v>83</v>
      </c>
      <c r="E74" s="67" t="s">
        <v>84</v>
      </c>
    </row>
    <row r="75" spans="1:5" ht="12.75" x14ac:dyDescent="0.35">
      <c r="A75" s="52">
        <v>100</v>
      </c>
      <c r="B75" s="52">
        <v>10</v>
      </c>
      <c r="C75" s="52">
        <v>90</v>
      </c>
      <c r="D75" s="52">
        <v>10.54</v>
      </c>
      <c r="E75" s="52">
        <v>6.22</v>
      </c>
    </row>
    <row r="76" spans="1:5" ht="12.75" x14ac:dyDescent="0.35">
      <c r="A76" s="55">
        <v>1000</v>
      </c>
      <c r="B76" s="52">
        <v>100</v>
      </c>
      <c r="C76" s="52">
        <v>900</v>
      </c>
      <c r="D76" s="52">
        <v>105.43</v>
      </c>
      <c r="E76" s="52">
        <v>62.19</v>
      </c>
    </row>
    <row r="77" spans="1:5" ht="12.75" x14ac:dyDescent="0.35">
      <c r="A77" s="55">
        <v>10000</v>
      </c>
      <c r="B77" s="68">
        <v>1000</v>
      </c>
      <c r="C77" s="68">
        <v>9000</v>
      </c>
      <c r="D77" s="68">
        <v>1054.3</v>
      </c>
      <c r="E77" s="52">
        <v>621.91999999999996</v>
      </c>
    </row>
    <row r="80" spans="1:5" ht="12.75" x14ac:dyDescent="0.35">
      <c r="A80" s="52" t="s">
        <v>85</v>
      </c>
    </row>
    <row r="81" spans="1:5" ht="13.15" x14ac:dyDescent="0.4">
      <c r="A81" s="67" t="s">
        <v>80</v>
      </c>
      <c r="D81" s="67" t="s">
        <v>83</v>
      </c>
      <c r="E81" s="67" t="s">
        <v>84</v>
      </c>
    </row>
    <row r="82" spans="1:5" ht="12.75" x14ac:dyDescent="0.35">
      <c r="A82" s="52">
        <v>100</v>
      </c>
      <c r="D82" s="52">
        <v>11.71</v>
      </c>
      <c r="E82" s="52">
        <v>6.91</v>
      </c>
    </row>
    <row r="83" spans="1:5" ht="12.75" x14ac:dyDescent="0.35">
      <c r="A83" s="55">
        <v>1000</v>
      </c>
      <c r="D83" s="52">
        <v>117.13</v>
      </c>
      <c r="E83" s="52">
        <v>69.099999999999994</v>
      </c>
    </row>
    <row r="84" spans="1:5" ht="12.75" x14ac:dyDescent="0.35">
      <c r="A84" s="55">
        <v>10000</v>
      </c>
      <c r="D84" s="68">
        <v>1171.3</v>
      </c>
      <c r="E84" s="52">
        <v>691</v>
      </c>
    </row>
    <row r="85" spans="1:5" ht="12.75" x14ac:dyDescent="0.35">
      <c r="A85" s="52" t="s">
        <v>86</v>
      </c>
    </row>
    <row r="86" spans="1:5" ht="13.15" x14ac:dyDescent="0.4">
      <c r="A86" s="67" t="s">
        <v>80</v>
      </c>
      <c r="D86" s="67" t="s">
        <v>83</v>
      </c>
      <c r="E86" s="67" t="s">
        <v>84</v>
      </c>
    </row>
    <row r="87" spans="1:5" ht="12.75" x14ac:dyDescent="0.35">
      <c r="A87" s="52">
        <v>100</v>
      </c>
      <c r="D87" s="52">
        <v>3.51</v>
      </c>
      <c r="E87" s="52">
        <v>2.0699999999999998</v>
      </c>
    </row>
    <row r="88" spans="1:5" ht="12.75" x14ac:dyDescent="0.35">
      <c r="A88" s="55">
        <v>1000</v>
      </c>
      <c r="D88" s="52">
        <v>35.14</v>
      </c>
      <c r="E88" s="52">
        <v>20.73</v>
      </c>
    </row>
    <row r="89" spans="1:5" ht="12.75" x14ac:dyDescent="0.35">
      <c r="A89" s="55">
        <v>10000</v>
      </c>
      <c r="D89" s="52">
        <v>351.39</v>
      </c>
      <c r="E89" s="52">
        <v>207.3</v>
      </c>
    </row>
    <row r="106" spans="1:6" ht="13.15" x14ac:dyDescent="0.4">
      <c r="A106" s="74" t="s">
        <v>0</v>
      </c>
      <c r="B106" s="75" t="s">
        <v>1</v>
      </c>
      <c r="C106" s="76" t="s">
        <v>3</v>
      </c>
      <c r="D106" s="75" t="s">
        <v>1</v>
      </c>
      <c r="E106" s="76" t="s">
        <v>4</v>
      </c>
      <c r="F106" s="77" t="s">
        <v>1</v>
      </c>
    </row>
    <row r="107" spans="1:6" ht="12.75" x14ac:dyDescent="0.35">
      <c r="A107" s="78" t="s">
        <v>6</v>
      </c>
      <c r="B107" s="79">
        <v>0.8</v>
      </c>
      <c r="C107" s="78" t="s">
        <v>6</v>
      </c>
      <c r="D107" s="79">
        <v>0.87</v>
      </c>
      <c r="E107" s="78" t="s">
        <v>6</v>
      </c>
      <c r="F107" s="79">
        <v>0.92</v>
      </c>
    </row>
    <row r="108" spans="1:6" ht="12.75" x14ac:dyDescent="0.35">
      <c r="A108" s="78" t="s">
        <v>8</v>
      </c>
      <c r="B108" s="79">
        <v>0.1</v>
      </c>
      <c r="C108" s="78" t="s">
        <v>10</v>
      </c>
      <c r="D108" s="79">
        <v>0.33</v>
      </c>
      <c r="E108" s="78" t="s">
        <v>12</v>
      </c>
      <c r="F108" s="79">
        <v>0.62</v>
      </c>
    </row>
    <row r="109" spans="1:6" ht="12.75" x14ac:dyDescent="0.35">
      <c r="A109" s="78" t="s">
        <v>14</v>
      </c>
      <c r="B109" s="79">
        <v>0.73</v>
      </c>
      <c r="C109" s="78" t="s">
        <v>14</v>
      </c>
      <c r="D109" s="79">
        <v>0.74</v>
      </c>
      <c r="E109" s="78" t="s">
        <v>14</v>
      </c>
      <c r="F109" s="79">
        <v>0.85</v>
      </c>
    </row>
    <row r="110" spans="1:6" ht="12.75" x14ac:dyDescent="0.35">
      <c r="A110" s="80"/>
      <c r="B110" s="81"/>
      <c r="C110" s="80"/>
      <c r="D110" s="81"/>
      <c r="E110" s="80"/>
      <c r="F110" s="81"/>
    </row>
    <row r="111" spans="1:6" ht="12.75" x14ac:dyDescent="0.35">
      <c r="A111" s="80"/>
      <c r="B111" s="81"/>
      <c r="C111" s="80"/>
      <c r="D111" s="82"/>
      <c r="E111" s="80"/>
      <c r="F111" s="83"/>
    </row>
    <row r="112" spans="1:6" ht="12.75" x14ac:dyDescent="0.35">
      <c r="A112" s="80" t="s">
        <v>18</v>
      </c>
      <c r="B112" s="84">
        <v>125</v>
      </c>
      <c r="C112" s="80" t="s">
        <v>18</v>
      </c>
      <c r="D112" s="85">
        <v>125</v>
      </c>
      <c r="E112" s="80" t="s">
        <v>18</v>
      </c>
      <c r="F112" s="86">
        <v>125</v>
      </c>
    </row>
    <row r="113" spans="1:6" ht="13.15" x14ac:dyDescent="0.4">
      <c r="A113" s="87" t="s">
        <v>19</v>
      </c>
      <c r="B113" s="88">
        <v>100</v>
      </c>
      <c r="C113" s="87" t="s">
        <v>19</v>
      </c>
      <c r="D113" s="88">
        <v>100</v>
      </c>
      <c r="E113" s="87" t="s">
        <v>19</v>
      </c>
      <c r="F113" s="88">
        <v>100</v>
      </c>
    </row>
    <row r="114" spans="1:6" ht="13.15" x14ac:dyDescent="0.4">
      <c r="A114" s="87" t="s">
        <v>20</v>
      </c>
      <c r="B114" s="88">
        <v>25</v>
      </c>
      <c r="C114" s="87" t="s">
        <v>20</v>
      </c>
      <c r="D114" s="88">
        <v>25</v>
      </c>
      <c r="E114" s="87" t="s">
        <v>20</v>
      </c>
      <c r="F114" s="88">
        <v>25</v>
      </c>
    </row>
    <row r="115" spans="1:6" ht="12.75" x14ac:dyDescent="0.35">
      <c r="A115" s="89" t="s">
        <v>16</v>
      </c>
      <c r="B115" s="90">
        <v>1360</v>
      </c>
      <c r="C115" s="89" t="s">
        <v>16</v>
      </c>
      <c r="D115" s="90">
        <v>290</v>
      </c>
      <c r="E115" s="89" t="s">
        <v>16</v>
      </c>
      <c r="F115" s="90">
        <v>190</v>
      </c>
    </row>
    <row r="116" spans="1:6" ht="13.15" x14ac:dyDescent="0.4">
      <c r="A116" s="87" t="s">
        <v>17</v>
      </c>
      <c r="B116" s="88">
        <v>100.64</v>
      </c>
      <c r="C116" s="87" t="s">
        <v>17</v>
      </c>
      <c r="D116" s="88">
        <v>101.384</v>
      </c>
      <c r="E116" s="87" t="s">
        <v>17</v>
      </c>
      <c r="F116" s="88">
        <v>100.13000000000001</v>
      </c>
    </row>
    <row r="117" spans="1:6" ht="13.15" x14ac:dyDescent="0.4">
      <c r="A117" s="87" t="s">
        <v>25</v>
      </c>
      <c r="B117" s="88">
        <v>474.36799999999982</v>
      </c>
      <c r="C117" s="87" t="s">
        <v>25</v>
      </c>
      <c r="D117" s="88">
        <v>-4.4080000000044084E-2</v>
      </c>
      <c r="E117" s="87" t="s">
        <v>25</v>
      </c>
      <c r="F117" s="88">
        <v>-50.699600000000032</v>
      </c>
    </row>
    <row r="118" spans="1:6" ht="13.15" x14ac:dyDescent="0.4">
      <c r="A118" s="87" t="s">
        <v>26</v>
      </c>
      <c r="B118" s="88">
        <v>885.63200000000018</v>
      </c>
      <c r="C118" s="87" t="s">
        <v>26</v>
      </c>
      <c r="D118" s="88">
        <v>290.04408000000006</v>
      </c>
      <c r="E118" s="87" t="s">
        <v>26</v>
      </c>
      <c r="F118" s="88">
        <v>240.69960000000003</v>
      </c>
    </row>
    <row r="119" spans="1:6" ht="12.75" x14ac:dyDescent="0.35">
      <c r="A119" s="91" t="s">
        <v>28</v>
      </c>
      <c r="B119" s="92">
        <v>1360</v>
      </c>
      <c r="C119" s="91" t="s">
        <v>28</v>
      </c>
      <c r="D119" s="92">
        <v>290</v>
      </c>
      <c r="E119" s="91" t="s">
        <v>28</v>
      </c>
      <c r="F119" s="92">
        <v>190</v>
      </c>
    </row>
    <row r="120" spans="1:6" ht="12.75" x14ac:dyDescent="0.35">
      <c r="A120" s="93" t="s">
        <v>31</v>
      </c>
      <c r="B120" s="94">
        <v>474.36799999999982</v>
      </c>
      <c r="C120" s="93" t="s">
        <v>31</v>
      </c>
      <c r="D120" s="94">
        <v>-4.4080000000064956E-2</v>
      </c>
      <c r="E120" s="93" t="s">
        <v>31</v>
      </c>
      <c r="F120" s="94">
        <v>-50.699600000000032</v>
      </c>
    </row>
    <row r="121" spans="1:6" ht="12.75" x14ac:dyDescent="0.35">
      <c r="A121" s="95" t="s">
        <v>33</v>
      </c>
      <c r="B121" s="96">
        <v>449.36799999999982</v>
      </c>
      <c r="C121" s="97" t="s">
        <v>33</v>
      </c>
      <c r="D121" s="98">
        <v>-25.044080000000065</v>
      </c>
      <c r="E121" s="99" t="s">
        <v>33</v>
      </c>
      <c r="F121" s="100">
        <v>-75.699600000000032</v>
      </c>
    </row>
    <row r="122" spans="1:6" ht="12.75" x14ac:dyDescent="0.35">
      <c r="A122" s="78"/>
      <c r="B122" s="101"/>
      <c r="C122" s="78"/>
      <c r="D122" s="101"/>
      <c r="E122" s="78"/>
      <c r="F122" s="102"/>
    </row>
    <row r="123" spans="1:6" ht="12.75" x14ac:dyDescent="0.35">
      <c r="A123" s="78" t="s">
        <v>21</v>
      </c>
      <c r="B123" s="103">
        <v>0.74</v>
      </c>
      <c r="C123" s="78" t="s">
        <v>21</v>
      </c>
      <c r="D123" s="103">
        <v>0.8</v>
      </c>
      <c r="E123" s="78" t="s">
        <v>21</v>
      </c>
      <c r="F123" s="103">
        <v>0.85</v>
      </c>
    </row>
    <row r="124" spans="1:6" ht="12.75" x14ac:dyDescent="0.35">
      <c r="A124" s="78" t="s">
        <v>22</v>
      </c>
      <c r="B124" s="103">
        <v>0.8</v>
      </c>
      <c r="C124" s="78" t="s">
        <v>22</v>
      </c>
      <c r="D124" s="103">
        <v>0.87</v>
      </c>
      <c r="E124" s="78" t="s">
        <v>22</v>
      </c>
      <c r="F124" s="103">
        <v>0.92</v>
      </c>
    </row>
    <row r="125" spans="1:6" ht="12.75" x14ac:dyDescent="0.35">
      <c r="A125" s="78" t="s">
        <v>23</v>
      </c>
      <c r="B125" s="103">
        <v>0.1</v>
      </c>
      <c r="C125" s="78" t="s">
        <v>23</v>
      </c>
      <c r="D125" s="103">
        <v>0.437</v>
      </c>
      <c r="E125" s="78" t="s">
        <v>23</v>
      </c>
      <c r="F125" s="103">
        <v>0.62</v>
      </c>
    </row>
    <row r="126" spans="1:6" ht="12.75" x14ac:dyDescent="0.35">
      <c r="A126" s="93" t="s">
        <v>24</v>
      </c>
      <c r="B126" s="104">
        <v>0.21215596330275238</v>
      </c>
      <c r="C126" s="93" t="s">
        <v>24</v>
      </c>
      <c r="D126" s="104">
        <v>-2299.9999999976999</v>
      </c>
      <c r="E126" s="93" t="s">
        <v>24</v>
      </c>
      <c r="F126" s="104">
        <v>-1.9749662719232488</v>
      </c>
    </row>
    <row r="127" spans="1:6" ht="12.75" x14ac:dyDescent="0.35">
      <c r="A127" s="80" t="s">
        <v>50</v>
      </c>
      <c r="B127" s="84">
        <v>0.11291371585489231</v>
      </c>
      <c r="C127" s="80" t="s">
        <v>50</v>
      </c>
      <c r="D127" s="84">
        <v>0.3447751803794788</v>
      </c>
      <c r="E127" s="80" t="s">
        <v>50</v>
      </c>
      <c r="F127" s="84">
        <v>0.41545561355315913</v>
      </c>
    </row>
    <row r="128" spans="1:6" ht="12.75" x14ac:dyDescent="0.35">
      <c r="A128" s="105" t="s">
        <v>27</v>
      </c>
      <c r="B128" s="106">
        <v>474.36799999999982</v>
      </c>
      <c r="C128" s="105" t="s">
        <v>27</v>
      </c>
      <c r="D128" s="106">
        <v>-4.4080000000044084E-2</v>
      </c>
      <c r="E128" s="105" t="s">
        <v>27</v>
      </c>
      <c r="F128" s="107">
        <v>-50.699600000000032</v>
      </c>
    </row>
    <row r="129" spans="1:6" ht="12.75" x14ac:dyDescent="0.35">
      <c r="A129" s="108" t="s">
        <v>29</v>
      </c>
      <c r="B129" s="109">
        <v>100.64</v>
      </c>
      <c r="C129" s="108" t="s">
        <v>29</v>
      </c>
      <c r="D129" s="110">
        <v>101.384</v>
      </c>
      <c r="E129" s="108" t="s">
        <v>29</v>
      </c>
      <c r="F129" s="111">
        <v>100.13000000000001</v>
      </c>
    </row>
    <row r="130" spans="1:6" ht="12.75" x14ac:dyDescent="0.35">
      <c r="A130" s="112" t="s">
        <v>66</v>
      </c>
      <c r="B130" s="113">
        <v>885.63200000000018</v>
      </c>
      <c r="C130" s="112" t="s">
        <v>66</v>
      </c>
      <c r="D130" s="113">
        <v>290.04408000000006</v>
      </c>
      <c r="E130" s="112" t="s">
        <v>66</v>
      </c>
      <c r="F130" s="114">
        <v>240.69960000000003</v>
      </c>
    </row>
    <row r="133" spans="1:6" ht="13.15" x14ac:dyDescent="0.4">
      <c r="A133" s="115" t="s">
        <v>91</v>
      </c>
      <c r="B133" s="116" t="s">
        <v>0</v>
      </c>
      <c r="C133" s="117" t="s">
        <v>3</v>
      </c>
      <c r="D133" s="117" t="s">
        <v>4</v>
      </c>
    </row>
    <row r="134" spans="1:6" ht="13.15" x14ac:dyDescent="0.4">
      <c r="A134" s="118" t="s">
        <v>92</v>
      </c>
      <c r="B134" s="119"/>
      <c r="C134" s="119"/>
      <c r="D134" s="119"/>
    </row>
    <row r="135" spans="1:6" ht="12.75" x14ac:dyDescent="0.35">
      <c r="A135" s="78" t="s">
        <v>6</v>
      </c>
      <c r="B135" s="120">
        <v>0.8</v>
      </c>
      <c r="C135" s="120">
        <v>0.87</v>
      </c>
      <c r="D135" s="120">
        <v>0.92</v>
      </c>
    </row>
    <row r="136" spans="1:6" ht="12.75" x14ac:dyDescent="0.35">
      <c r="A136" s="78" t="s">
        <v>93</v>
      </c>
      <c r="B136" s="120">
        <v>0.1</v>
      </c>
      <c r="C136" s="120">
        <v>0.44</v>
      </c>
      <c r="D136" s="120">
        <v>0.62</v>
      </c>
    </row>
    <row r="137" spans="1:6" ht="12.75" x14ac:dyDescent="0.35">
      <c r="A137" s="78" t="s">
        <v>14</v>
      </c>
      <c r="B137" s="120">
        <v>0.73</v>
      </c>
      <c r="C137" s="120">
        <v>0.74</v>
      </c>
      <c r="D137" s="120">
        <v>0.85</v>
      </c>
    </row>
    <row r="138" spans="1:6" ht="12.75" x14ac:dyDescent="0.35">
      <c r="A138" s="80"/>
      <c r="B138" s="80"/>
      <c r="C138" s="80"/>
      <c r="D138" s="80"/>
    </row>
    <row r="139" spans="1:6" ht="13.15" x14ac:dyDescent="0.4">
      <c r="A139" s="118" t="s">
        <v>94</v>
      </c>
      <c r="B139" s="121"/>
      <c r="C139" s="122"/>
      <c r="D139" s="123"/>
    </row>
    <row r="140" spans="1:6" ht="12.75" x14ac:dyDescent="0.35">
      <c r="A140" s="80" t="s">
        <v>18</v>
      </c>
      <c r="B140" s="124">
        <v>125</v>
      </c>
      <c r="C140" s="125">
        <v>125</v>
      </c>
      <c r="D140" s="126">
        <v>125</v>
      </c>
    </row>
    <row r="141" spans="1:6" ht="13.15" x14ac:dyDescent="0.4">
      <c r="A141" s="87" t="s">
        <v>19</v>
      </c>
      <c r="B141" s="127">
        <v>100</v>
      </c>
      <c r="C141" s="127">
        <v>100</v>
      </c>
      <c r="D141" s="127">
        <v>100</v>
      </c>
    </row>
    <row r="142" spans="1:6" ht="12.75" x14ac:dyDescent="0.35">
      <c r="A142" s="80" t="s">
        <v>20</v>
      </c>
      <c r="B142" s="126">
        <v>25</v>
      </c>
      <c r="C142" s="126">
        <v>25</v>
      </c>
      <c r="D142" s="126">
        <v>25</v>
      </c>
    </row>
    <row r="143" spans="1:6" ht="12.75" x14ac:dyDescent="0.35">
      <c r="A143" s="89" t="s">
        <v>16</v>
      </c>
      <c r="B143" s="128">
        <v>1360</v>
      </c>
      <c r="C143" s="128">
        <v>290</v>
      </c>
      <c r="D143" s="128">
        <v>190</v>
      </c>
    </row>
    <row r="144" spans="1:6" ht="13.15" x14ac:dyDescent="0.4">
      <c r="A144" s="87" t="s">
        <v>17</v>
      </c>
      <c r="B144" s="127">
        <v>100.64</v>
      </c>
      <c r="C144" s="127">
        <v>101.384</v>
      </c>
      <c r="D144" s="127">
        <v>100.13000000000001</v>
      </c>
    </row>
    <row r="145" spans="1:6" ht="13.15" x14ac:dyDescent="0.4">
      <c r="A145" s="87" t="s">
        <v>26</v>
      </c>
      <c r="B145" s="127">
        <v>885.63200000000018</v>
      </c>
      <c r="C145" s="127">
        <v>290.04408000000006</v>
      </c>
      <c r="D145" s="127">
        <v>240.69960000000003</v>
      </c>
    </row>
    <row r="146" spans="1:6" ht="13.15" x14ac:dyDescent="0.4">
      <c r="A146" s="129" t="s">
        <v>25</v>
      </c>
      <c r="B146" s="130">
        <v>474.36799999999982</v>
      </c>
      <c r="C146" s="131">
        <v>-4.4080000000044084E-2</v>
      </c>
      <c r="D146" s="132">
        <v>-50.699600000000032</v>
      </c>
    </row>
    <row r="147" spans="1:6" ht="13.15" x14ac:dyDescent="0.4">
      <c r="A147" s="133" t="s">
        <v>33</v>
      </c>
      <c r="B147" s="134">
        <v>449.36799999999982</v>
      </c>
      <c r="C147" s="135">
        <v>-25.044080000000065</v>
      </c>
      <c r="D147" s="136">
        <v>-75.699600000000032</v>
      </c>
    </row>
    <row r="148" spans="1:6" ht="13.15" x14ac:dyDescent="0.4">
      <c r="A148" s="137" t="s">
        <v>95</v>
      </c>
      <c r="B148" s="138">
        <v>474.36799999999982</v>
      </c>
      <c r="C148" s="138">
        <v>-4.4080000000044084E-2</v>
      </c>
      <c r="D148" s="127">
        <v>-50.699600000000032</v>
      </c>
    </row>
    <row r="149" spans="1:6" ht="13.15" x14ac:dyDescent="0.4">
      <c r="A149" s="133" t="s">
        <v>96</v>
      </c>
      <c r="B149" s="139">
        <v>100.64</v>
      </c>
      <c r="C149" s="139">
        <v>101.384</v>
      </c>
      <c r="D149" s="140">
        <v>100.13000000000001</v>
      </c>
    </row>
    <row r="150" spans="1:6" ht="12.75" x14ac:dyDescent="0.35">
      <c r="C150" s="52" t="s">
        <v>97</v>
      </c>
    </row>
    <row r="153" spans="1:6" ht="13.15" x14ac:dyDescent="0.4">
      <c r="A153" s="115" t="s">
        <v>91</v>
      </c>
      <c r="B153" s="116" t="s">
        <v>0</v>
      </c>
      <c r="C153" s="117" t="s">
        <v>3</v>
      </c>
      <c r="D153" s="117" t="s">
        <v>4</v>
      </c>
    </row>
    <row r="154" spans="1:6" ht="13.15" x14ac:dyDescent="0.4">
      <c r="A154" s="118" t="s">
        <v>92</v>
      </c>
      <c r="B154" s="119"/>
      <c r="C154" s="119"/>
      <c r="D154" s="119"/>
    </row>
    <row r="155" spans="1:6" ht="12.75" x14ac:dyDescent="0.35">
      <c r="A155" s="78" t="s">
        <v>6</v>
      </c>
      <c r="B155" s="120">
        <v>0.8</v>
      </c>
      <c r="C155" s="120">
        <v>0.87</v>
      </c>
      <c r="D155" s="120">
        <v>0.92</v>
      </c>
    </row>
    <row r="156" spans="1:6" ht="12.75" x14ac:dyDescent="0.35">
      <c r="A156" s="78" t="s">
        <v>93</v>
      </c>
      <c r="B156" s="120">
        <v>0.1</v>
      </c>
      <c r="C156" s="120">
        <v>0.32</v>
      </c>
      <c r="D156" s="120">
        <v>0.62</v>
      </c>
      <c r="F156" s="85">
        <v>125</v>
      </c>
    </row>
    <row r="157" spans="1:6" ht="13.15" x14ac:dyDescent="0.4">
      <c r="A157" s="78" t="s">
        <v>14</v>
      </c>
      <c r="B157" s="120">
        <v>0.73</v>
      </c>
      <c r="C157" s="120">
        <v>0.74</v>
      </c>
      <c r="D157" s="120">
        <v>0.85</v>
      </c>
      <c r="F157" s="88">
        <v>100</v>
      </c>
    </row>
    <row r="158" spans="1:6" ht="13.15" x14ac:dyDescent="0.4">
      <c r="A158" s="80"/>
      <c r="B158" s="80"/>
      <c r="C158" s="80"/>
      <c r="D158" s="80"/>
      <c r="F158" s="88">
        <v>25</v>
      </c>
    </row>
    <row r="159" spans="1:6" ht="13.15" x14ac:dyDescent="0.4">
      <c r="A159" s="118" t="s">
        <v>94</v>
      </c>
      <c r="B159" s="121"/>
      <c r="C159" s="122"/>
      <c r="D159" s="123"/>
      <c r="F159" s="141">
        <v>290</v>
      </c>
    </row>
    <row r="160" spans="1:6" ht="13.15" x14ac:dyDescent="0.4">
      <c r="A160" s="80" t="s">
        <v>18</v>
      </c>
      <c r="B160" s="124">
        <v>125</v>
      </c>
      <c r="C160" s="125">
        <v>125</v>
      </c>
      <c r="D160" s="126">
        <v>125</v>
      </c>
      <c r="F160" s="88">
        <v>73.08</v>
      </c>
    </row>
    <row r="161" spans="1:6" ht="13.15" x14ac:dyDescent="0.4">
      <c r="A161" s="87" t="s">
        <v>19</v>
      </c>
      <c r="B161" s="127">
        <v>100</v>
      </c>
      <c r="C161" s="127">
        <v>100</v>
      </c>
      <c r="D161" s="127">
        <v>100</v>
      </c>
      <c r="F161" s="88">
        <v>24.580399999999983</v>
      </c>
    </row>
    <row r="162" spans="1:6" ht="13.15" x14ac:dyDescent="0.4">
      <c r="A162" s="80" t="s">
        <v>20</v>
      </c>
      <c r="B162" s="126">
        <v>25</v>
      </c>
      <c r="C162" s="126">
        <v>25</v>
      </c>
      <c r="D162" s="126">
        <v>25</v>
      </c>
      <c r="F162" s="88">
        <v>265.4196</v>
      </c>
    </row>
    <row r="163" spans="1:6" ht="12.75" x14ac:dyDescent="0.35">
      <c r="A163" s="89" t="s">
        <v>16</v>
      </c>
      <c r="B163" s="128">
        <v>1360</v>
      </c>
      <c r="C163" s="128">
        <v>290</v>
      </c>
      <c r="D163" s="128">
        <v>190</v>
      </c>
      <c r="F163" s="98">
        <v>-0.41960000000000264</v>
      </c>
    </row>
    <row r="164" spans="1:6" ht="13.15" x14ac:dyDescent="0.4">
      <c r="A164" s="87" t="s">
        <v>17</v>
      </c>
      <c r="B164" s="127">
        <v>100.64</v>
      </c>
      <c r="C164" s="127">
        <v>73</v>
      </c>
      <c r="D164" s="127">
        <v>100.13000000000001</v>
      </c>
    </row>
    <row r="165" spans="1:6" ht="13.15" x14ac:dyDescent="0.4">
      <c r="A165" s="87" t="s">
        <v>26</v>
      </c>
      <c r="B165" s="127">
        <v>885.63200000000018</v>
      </c>
      <c r="C165" s="127">
        <v>265</v>
      </c>
      <c r="D165" s="127">
        <v>240.69960000000003</v>
      </c>
    </row>
    <row r="166" spans="1:6" ht="13.15" x14ac:dyDescent="0.4">
      <c r="A166" s="129" t="s">
        <v>25</v>
      </c>
      <c r="B166" s="130">
        <v>474.36799999999982</v>
      </c>
      <c r="C166" s="131">
        <v>25</v>
      </c>
      <c r="D166" s="132">
        <v>-50.699600000000032</v>
      </c>
    </row>
    <row r="167" spans="1:6" ht="13.15" x14ac:dyDescent="0.4">
      <c r="A167" s="133" t="s">
        <v>33</v>
      </c>
      <c r="B167" s="134">
        <v>449.36799999999982</v>
      </c>
      <c r="C167" s="135">
        <v>0</v>
      </c>
      <c r="D167" s="136">
        <v>-75.699600000000032</v>
      </c>
    </row>
    <row r="168" spans="1:6" ht="13.15" x14ac:dyDescent="0.4">
      <c r="A168" s="137" t="s">
        <v>95</v>
      </c>
      <c r="B168" s="138">
        <v>474.36799999999982</v>
      </c>
      <c r="C168" s="138">
        <v>-4.4080000000044084E-2</v>
      </c>
      <c r="D168" s="127">
        <v>-50.699600000000032</v>
      </c>
    </row>
    <row r="169" spans="1:6" ht="13.15" x14ac:dyDescent="0.4">
      <c r="A169" s="133" t="s">
        <v>96</v>
      </c>
      <c r="B169" s="139">
        <v>100.64</v>
      </c>
      <c r="C169" s="139">
        <v>101.384</v>
      </c>
      <c r="D169" s="140">
        <v>100.13000000000001</v>
      </c>
    </row>
    <row r="170" spans="1:6" ht="12.75" x14ac:dyDescent="0.35">
      <c r="C170" s="52" t="s">
        <v>98</v>
      </c>
    </row>
  </sheetData>
  <hyperlinks>
    <hyperlink ref="G48" r:id="rId1" xr:uid="{00000000-0004-0000-0400-000000000000}"/>
    <hyperlink ref="G49" r:id="rId2" xr:uid="{00000000-0004-0000-0400-000001000000}"/>
    <hyperlink ref="G50" r:id="rId3" xr:uid="{00000000-0004-0000-0400-000002000000}"/>
    <hyperlink ref="G51" r:id="rId4" xr:uid="{00000000-0004-0000-0400-00000300000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MXL Cooling DC Scaling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Balma</cp:lastModifiedBy>
  <dcterms:created xsi:type="dcterms:W3CDTF">2026-08-11T20:58:54Z</dcterms:created>
  <dcterms:modified xsi:type="dcterms:W3CDTF">2026-08-11T21:00:55Z</dcterms:modified>
</cp:coreProperties>
</file>