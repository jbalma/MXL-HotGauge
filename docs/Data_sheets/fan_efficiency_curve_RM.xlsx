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riccardo/Dropbox/Lavoro/Consulting/2025_January/SimScale/"/>
    </mc:Choice>
  </mc:AlternateContent>
  <xr:revisionPtr revIDLastSave="0" documentId="13_ncr:1_{B6B31175-CF2F-7846-8FEB-A29E060CC0CD}" xr6:coauthVersionLast="47" xr6:coauthVersionMax="47" xr10:uidLastSave="{00000000-0000-0000-0000-000000000000}"/>
  <bookViews>
    <workbookView xWindow="3080" yWindow="2940" windowWidth="25180" windowHeight="15600" xr2:uid="{00000000-000D-0000-FFFF-FFFF00000000}"/>
  </bookViews>
  <sheets>
    <sheet name="23500" sheetId="7" r:id="rId1"/>
    <sheet name="pfb0412" sheetId="5" r:id="rId2"/>
    <sheet name="pfb0412-tp" sheetId="4" r:id="rId3"/>
    <sheet name="Sheet5" sheetId="6" r:id="rId4"/>
    <sheet name="houa" sheetId="3" r:id="rId5"/>
    <sheet name="pfb0412_30krpm" sheetId="1" r:id="rId6"/>
    <sheet name="pdf1224" sheetId="2" r:id="rId7"/>
  </sheets>
  <definedNames>
    <definedName name="text" localSheetId="0">'23500'!$A$4:$B$61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7" l="1"/>
  <c r="M6" i="7"/>
  <c r="M7" i="7"/>
  <c r="M8" i="7"/>
  <c r="M9" i="7"/>
  <c r="O9" i="7" s="1"/>
  <c r="P9" i="7" s="1"/>
  <c r="M10" i="7"/>
  <c r="M11" i="7"/>
  <c r="M12" i="7"/>
  <c r="M13" i="7"/>
  <c r="M14" i="7"/>
  <c r="M15" i="7"/>
  <c r="M16" i="7"/>
  <c r="M17" i="7"/>
  <c r="M18" i="7"/>
  <c r="M19" i="7"/>
  <c r="M20" i="7"/>
  <c r="M21" i="7"/>
  <c r="O21" i="7" s="1"/>
  <c r="P21" i="7" s="1"/>
  <c r="M22" i="7"/>
  <c r="M23" i="7"/>
  <c r="M24" i="7"/>
  <c r="O24" i="7" s="1"/>
  <c r="P24" i="7" s="1"/>
  <c r="M25" i="7"/>
  <c r="O25" i="7" s="1"/>
  <c r="P25" i="7" s="1"/>
  <c r="M26" i="7"/>
  <c r="M27" i="7"/>
  <c r="O27" i="7" s="1"/>
  <c r="P27" i="7" s="1"/>
  <c r="M28" i="7"/>
  <c r="O28" i="7" s="1"/>
  <c r="M29" i="7"/>
  <c r="M30" i="7"/>
  <c r="M31" i="7"/>
  <c r="M32" i="7"/>
  <c r="M33" i="7"/>
  <c r="M34" i="7"/>
  <c r="M35" i="7"/>
  <c r="O35" i="7" s="1"/>
  <c r="P35" i="7" s="1"/>
  <c r="M36" i="7"/>
  <c r="O36" i="7" s="1"/>
  <c r="P36" i="7" s="1"/>
  <c r="M37" i="7"/>
  <c r="M38" i="7"/>
  <c r="M39" i="7"/>
  <c r="O39" i="7" s="1"/>
  <c r="P39" i="7" s="1"/>
  <c r="M40" i="7"/>
  <c r="O40" i="7" s="1"/>
  <c r="M41" i="7"/>
  <c r="M42" i="7"/>
  <c r="M43" i="7"/>
  <c r="M44" i="7"/>
  <c r="M45" i="7"/>
  <c r="M46" i="7"/>
  <c r="O46" i="7" s="1"/>
  <c r="P46" i="7" s="1"/>
  <c r="M47" i="7"/>
  <c r="M48" i="7"/>
  <c r="M49" i="7"/>
  <c r="O49" i="7" s="1"/>
  <c r="P49" i="7" s="1"/>
  <c r="M50" i="7"/>
  <c r="M51" i="7"/>
  <c r="O51" i="7" s="1"/>
  <c r="P51" i="7" s="1"/>
  <c r="M52" i="7"/>
  <c r="O52" i="7" s="1"/>
  <c r="P52" i="7" s="1"/>
  <c r="M53" i="7"/>
  <c r="M54" i="7"/>
  <c r="M55" i="7"/>
  <c r="M56" i="7"/>
  <c r="M57" i="7"/>
  <c r="M58" i="7"/>
  <c r="M59" i="7"/>
  <c r="O59" i="7" s="1"/>
  <c r="P59" i="7" s="1"/>
  <c r="M60" i="7"/>
  <c r="M4" i="7"/>
  <c r="O4" i="7"/>
  <c r="P4" i="7" s="1"/>
  <c r="L51" i="7"/>
  <c r="N51" i="7"/>
  <c r="L52" i="7"/>
  <c r="N52" i="7"/>
  <c r="L53" i="7"/>
  <c r="O53" i="7" s="1"/>
  <c r="P53" i="7" s="1"/>
  <c r="N53" i="7"/>
  <c r="L54" i="7"/>
  <c r="N54" i="7"/>
  <c r="O54" i="7"/>
  <c r="P54" i="7"/>
  <c r="L55" i="7"/>
  <c r="N55" i="7"/>
  <c r="O55" i="7"/>
  <c r="L56" i="7"/>
  <c r="N56" i="7"/>
  <c r="O56" i="7"/>
  <c r="P56" i="7"/>
  <c r="L57" i="7"/>
  <c r="N57" i="7"/>
  <c r="O57" i="7"/>
  <c r="P57" i="7"/>
  <c r="L58" i="7"/>
  <c r="O58" i="7" s="1"/>
  <c r="P58" i="7" s="1"/>
  <c r="N58" i="7"/>
  <c r="L59" i="7"/>
  <c r="N59" i="7"/>
  <c r="L60" i="7"/>
  <c r="N60" i="7"/>
  <c r="L61" i="7"/>
  <c r="M61" i="7"/>
  <c r="N61" i="7"/>
  <c r="O61" i="7"/>
  <c r="P61" i="7"/>
  <c r="L24" i="7"/>
  <c r="N24" i="7"/>
  <c r="L25" i="7"/>
  <c r="N25" i="7"/>
  <c r="L26" i="7"/>
  <c r="N26" i="7"/>
  <c r="L27" i="7"/>
  <c r="N27" i="7"/>
  <c r="L28" i="7"/>
  <c r="N28" i="7"/>
  <c r="L29" i="7"/>
  <c r="N29" i="7"/>
  <c r="O29" i="7"/>
  <c r="P29" i="7"/>
  <c r="L30" i="7"/>
  <c r="N30" i="7"/>
  <c r="O30" i="7"/>
  <c r="P30" i="7" s="1"/>
  <c r="L31" i="7"/>
  <c r="N31" i="7"/>
  <c r="L32" i="7"/>
  <c r="N32" i="7"/>
  <c r="O32" i="7"/>
  <c r="P32" i="7"/>
  <c r="L33" i="7"/>
  <c r="O33" i="7" s="1"/>
  <c r="N33" i="7"/>
  <c r="P33" i="7" s="1"/>
  <c r="L34" i="7"/>
  <c r="N34" i="7"/>
  <c r="O34" i="7"/>
  <c r="P34" i="7"/>
  <c r="L35" i="7"/>
  <c r="N35" i="7"/>
  <c r="L36" i="7"/>
  <c r="N36" i="7"/>
  <c r="L37" i="7"/>
  <c r="N37" i="7"/>
  <c r="O37" i="7"/>
  <c r="P37" i="7"/>
  <c r="L38" i="7"/>
  <c r="N38" i="7"/>
  <c r="L39" i="7"/>
  <c r="N39" i="7"/>
  <c r="L40" i="7"/>
  <c r="N40" i="7"/>
  <c r="L41" i="7"/>
  <c r="N41" i="7"/>
  <c r="O41" i="7"/>
  <c r="P41" i="7" s="1"/>
  <c r="L42" i="7"/>
  <c r="N42" i="7"/>
  <c r="O42" i="7"/>
  <c r="P42" i="7"/>
  <c r="L43" i="7"/>
  <c r="O43" i="7" s="1"/>
  <c r="P43" i="7" s="1"/>
  <c r="N43" i="7"/>
  <c r="L44" i="7"/>
  <c r="N44" i="7"/>
  <c r="O44" i="7"/>
  <c r="P44" i="7"/>
  <c r="L45" i="7"/>
  <c r="O45" i="7" s="1"/>
  <c r="N45" i="7"/>
  <c r="L46" i="7"/>
  <c r="N46" i="7"/>
  <c r="L47" i="7"/>
  <c r="N47" i="7"/>
  <c r="O47" i="7"/>
  <c r="P47" i="7"/>
  <c r="L48" i="7"/>
  <c r="N48" i="7"/>
  <c r="O48" i="7"/>
  <c r="P48" i="7" s="1"/>
  <c r="L49" i="7"/>
  <c r="N49" i="7"/>
  <c r="L50" i="7"/>
  <c r="N50" i="7"/>
  <c r="N4" i="7"/>
  <c r="L4" i="7"/>
  <c r="N23" i="7"/>
  <c r="L23" i="7"/>
  <c r="O23" i="7" s="1"/>
  <c r="N22" i="7"/>
  <c r="L22" i="7"/>
  <c r="N21" i="7"/>
  <c r="L21" i="7"/>
  <c r="N20" i="7"/>
  <c r="L20" i="7"/>
  <c r="O20" i="7" s="1"/>
  <c r="N19" i="7"/>
  <c r="L19" i="7"/>
  <c r="N18" i="7"/>
  <c r="L18" i="7"/>
  <c r="O18" i="7" s="1"/>
  <c r="N17" i="7"/>
  <c r="L17" i="7"/>
  <c r="N16" i="7"/>
  <c r="L16" i="7"/>
  <c r="N15" i="7"/>
  <c r="L15" i="7"/>
  <c r="N14" i="7"/>
  <c r="L14" i="7"/>
  <c r="N13" i="7"/>
  <c r="L13" i="7"/>
  <c r="N12" i="7"/>
  <c r="L12" i="7"/>
  <c r="O12" i="7" s="1"/>
  <c r="N11" i="7"/>
  <c r="L11" i="7"/>
  <c r="O11" i="7" s="1"/>
  <c r="N10" i="7"/>
  <c r="L10" i="7"/>
  <c r="N9" i="7"/>
  <c r="L9" i="7"/>
  <c r="N8" i="7"/>
  <c r="L8" i="7"/>
  <c r="O8" i="7" s="1"/>
  <c r="N7" i="7"/>
  <c r="L7" i="7"/>
  <c r="N6" i="7"/>
  <c r="L6" i="7"/>
  <c r="O6" i="7" s="1"/>
  <c r="N5" i="7"/>
  <c r="L5" i="7"/>
  <c r="P4" i="4"/>
  <c r="O4" i="4"/>
  <c r="N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4" i="4"/>
  <c r="M4" i="5"/>
  <c r="Q4" i="5"/>
  <c r="P4" i="5"/>
  <c r="O4" i="5"/>
  <c r="N4" i="5"/>
  <c r="K4" i="5"/>
  <c r="J4" i="5"/>
  <c r="T4" i="5"/>
  <c r="R4" i="4"/>
  <c r="O23" i="5"/>
  <c r="O16" i="5"/>
  <c r="O15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U3" i="4"/>
  <c r="N23" i="5"/>
  <c r="N22" i="5"/>
  <c r="N21" i="5"/>
  <c r="N20" i="5"/>
  <c r="N8" i="5"/>
  <c r="N7" i="5"/>
  <c r="N6" i="5"/>
  <c r="N5" i="5"/>
  <c r="I4" i="5"/>
  <c r="V3" i="5"/>
  <c r="W3" i="5" s="1"/>
  <c r="M23" i="5"/>
  <c r="M22" i="5"/>
  <c r="M21" i="5"/>
  <c r="M20" i="5"/>
  <c r="M19" i="5"/>
  <c r="M18" i="5"/>
  <c r="M17" i="5"/>
  <c r="M16" i="5"/>
  <c r="M15" i="5"/>
  <c r="M14" i="5"/>
  <c r="M13" i="5"/>
  <c r="M12" i="5"/>
  <c r="O11" i="5"/>
  <c r="I23" i="5"/>
  <c r="O22" i="5"/>
  <c r="I22" i="5"/>
  <c r="O21" i="5"/>
  <c r="I21" i="5"/>
  <c r="O20" i="5"/>
  <c r="I20" i="5"/>
  <c r="O19" i="5"/>
  <c r="I19" i="5"/>
  <c r="O18" i="5"/>
  <c r="I18" i="5"/>
  <c r="O17" i="5"/>
  <c r="I17" i="5"/>
  <c r="I16" i="5"/>
  <c r="I15" i="5"/>
  <c r="O14" i="5"/>
  <c r="I14" i="5"/>
  <c r="O13" i="5"/>
  <c r="I13" i="5"/>
  <c r="O12" i="5"/>
  <c r="I12" i="5"/>
  <c r="I11" i="5"/>
  <c r="O10" i="5"/>
  <c r="I10" i="5"/>
  <c r="O9" i="5"/>
  <c r="I9" i="5"/>
  <c r="O8" i="5"/>
  <c r="I8" i="5"/>
  <c r="O7" i="5"/>
  <c r="I7" i="5"/>
  <c r="T6" i="5"/>
  <c r="S6" i="5"/>
  <c r="O6" i="5"/>
  <c r="I6" i="5"/>
  <c r="O5" i="5"/>
  <c r="I5" i="5"/>
  <c r="G5" i="5" a="1"/>
  <c r="G5" i="5" s="1"/>
  <c r="S4" i="5"/>
  <c r="N19" i="5" s="1"/>
  <c r="J7" i="5"/>
  <c r="G4" i="5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R6" i="4"/>
  <c r="S6" i="4"/>
  <c r="S4" i="4"/>
  <c r="O4" i="3"/>
  <c r="I7" i="3"/>
  <c r="I6" i="3"/>
  <c r="I5" i="3"/>
  <c r="J4" i="3"/>
  <c r="I4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F4" i="3"/>
  <c r="F5" i="3" a="1"/>
  <c r="F5" i="3" s="1"/>
  <c r="F4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P40" i="7" l="1"/>
  <c r="O26" i="7"/>
  <c r="P26" i="7" s="1"/>
  <c r="O14" i="7"/>
  <c r="O50" i="7"/>
  <c r="P50" i="7" s="1"/>
  <c r="O15" i="7"/>
  <c r="P15" i="7" s="1"/>
  <c r="P28" i="7"/>
  <c r="O10" i="7"/>
  <c r="P10" i="7" s="1"/>
  <c r="O16" i="7"/>
  <c r="P16" i="7" s="1"/>
  <c r="P55" i="7"/>
  <c r="O13" i="7"/>
  <c r="P13" i="7" s="1"/>
  <c r="O60" i="7"/>
  <c r="P60" i="7" s="1"/>
  <c r="O22" i="7"/>
  <c r="O38" i="7"/>
  <c r="P38" i="7" s="1"/>
  <c r="O31" i="7"/>
  <c r="P31" i="7" s="1"/>
  <c r="P45" i="7"/>
  <c r="P6" i="7"/>
  <c r="P14" i="7"/>
  <c r="O7" i="7"/>
  <c r="P18" i="7"/>
  <c r="O19" i="7"/>
  <c r="P19" i="7" s="1"/>
  <c r="P12" i="7"/>
  <c r="O5" i="7"/>
  <c r="P5" i="7" s="1"/>
  <c r="P20" i="7"/>
  <c r="O17" i="7"/>
  <c r="P17" i="7" s="1"/>
  <c r="P22" i="7"/>
  <c r="P11" i="7"/>
  <c r="P7" i="7"/>
  <c r="P8" i="7"/>
  <c r="P23" i="7"/>
  <c r="O15" i="4"/>
  <c r="P15" i="4" s="1"/>
  <c r="O14" i="4"/>
  <c r="P14" i="4" s="1"/>
  <c r="V3" i="4" s="1"/>
  <c r="O20" i="4"/>
  <c r="P20" i="4" s="1"/>
  <c r="O21" i="4"/>
  <c r="P21" i="4" s="1"/>
  <c r="N9" i="5"/>
  <c r="N10" i="5"/>
  <c r="N11" i="5"/>
  <c r="M5" i="5"/>
  <c r="N12" i="5"/>
  <c r="J5" i="5"/>
  <c r="N13" i="5"/>
  <c r="M8" i="5"/>
  <c r="N15" i="5"/>
  <c r="M6" i="5"/>
  <c r="M7" i="5"/>
  <c r="N14" i="5"/>
  <c r="J6" i="5"/>
  <c r="M9" i="5"/>
  <c r="N16" i="5"/>
  <c r="M10" i="5"/>
  <c r="N17" i="5"/>
  <c r="M11" i="5"/>
  <c r="N18" i="5"/>
  <c r="P13" i="5"/>
  <c r="Q13" i="5" s="1"/>
  <c r="P14" i="5"/>
  <c r="Q14" i="5" s="1"/>
  <c r="P10" i="5"/>
  <c r="Q10" i="5" s="1"/>
  <c r="P16" i="5"/>
  <c r="Q16" i="5" s="1"/>
  <c r="P8" i="5"/>
  <c r="Q8" i="5" s="1"/>
  <c r="P9" i="5"/>
  <c r="Q9" i="5" s="1"/>
  <c r="O18" i="4"/>
  <c r="P18" i="4" s="1"/>
  <c r="O22" i="4"/>
  <c r="P22" i="4" s="1"/>
  <c r="O13" i="4" l="1"/>
  <c r="P13" i="4" s="1"/>
  <c r="O12" i="4"/>
  <c r="P12" i="4" s="1"/>
  <c r="O23" i="4"/>
  <c r="P23" i="4" s="1"/>
  <c r="P17" i="5"/>
  <c r="Q17" i="5" s="1"/>
  <c r="P19" i="5"/>
  <c r="Q19" i="5" s="1"/>
  <c r="P18" i="5"/>
  <c r="Q18" i="5" s="1"/>
  <c r="P7" i="5"/>
  <c r="Q7" i="5" s="1"/>
  <c r="P21" i="5"/>
  <c r="Q21" i="5" s="1"/>
  <c r="P15" i="5"/>
  <c r="Q15" i="5" s="1"/>
  <c r="P5" i="5"/>
  <c r="Q5" i="5" s="1"/>
  <c r="P12" i="5"/>
  <c r="Q12" i="5" s="1"/>
  <c r="P22" i="5"/>
  <c r="Q22" i="5" s="1"/>
  <c r="P11" i="5"/>
  <c r="Q11" i="5" s="1"/>
  <c r="P23" i="5"/>
  <c r="Q23" i="5" s="1"/>
  <c r="P6" i="5"/>
  <c r="Q6" i="5" s="1"/>
  <c r="P20" i="5"/>
  <c r="Q20" i="5" s="1"/>
  <c r="O17" i="4"/>
  <c r="P17" i="4" s="1"/>
  <c r="O9" i="4"/>
  <c r="P9" i="4" s="1"/>
  <c r="O8" i="4"/>
  <c r="P8" i="4" s="1"/>
  <c r="O5" i="4"/>
  <c r="P5" i="4" s="1"/>
  <c r="O6" i="4"/>
  <c r="P6" i="4" s="1"/>
  <c r="O16" i="4"/>
  <c r="P16" i="4" s="1"/>
  <c r="O10" i="4"/>
  <c r="P10" i="4" s="1"/>
  <c r="O7" i="4"/>
  <c r="P7" i="4" s="1"/>
  <c r="O19" i="4"/>
  <c r="P19" i="4" s="1"/>
  <c r="O11" i="4"/>
  <c r="P11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A5FB9F-6291-7C4A-8AE6-E231344635C7}" name="text" type="6" refreshedVersion="8" background="1" saveData="1">
    <textPr codePage="10000" sourceFile="/Users/riccardo/Desktop/text.dat" comma="1">
      <textFields count="2">
        <textField/>
        <textField/>
      </textFields>
    </textPr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<sst xmlns="http://schemas.openxmlformats.org/spreadsheetml/2006/main" count="127" uniqueCount="57">
  <si>
    <t>Q (CFM)</t>
  </si>
  <si>
    <t>P (mmH20)</t>
  </si>
  <si>
    <t>P(mmH2O)</t>
  </si>
  <si>
    <r>
      <t>1E-08x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- 1E-06x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- 5E-06x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+ 0.003x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- 0.0813x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- 0.332x + 51.911</t>
    </r>
  </si>
  <si>
    <t>Q(CFM)</t>
  </si>
  <si>
    <t>y=mx+b</t>
  </si>
  <si>
    <t>X=</t>
  </si>
  <si>
    <t>y =</t>
  </si>
  <si>
    <t>Forcast</t>
  </si>
  <si>
    <t>Trend</t>
  </si>
  <si>
    <t>x=</t>
  </si>
  <si>
    <t>Linear fit</t>
  </si>
  <si>
    <t>m</t>
  </si>
  <si>
    <t>b</t>
  </si>
  <si>
    <t>eta</t>
  </si>
  <si>
    <t>power eff</t>
  </si>
  <si>
    <t>V</t>
  </si>
  <si>
    <t>I</t>
  </si>
  <si>
    <t>PFB0412</t>
  </si>
  <si>
    <t>30k RPM</t>
  </si>
  <si>
    <t>PFB1224</t>
  </si>
  <si>
    <t>16000 RPM</t>
  </si>
  <si>
    <t>V slope</t>
  </si>
  <si>
    <t>I slope</t>
  </si>
  <si>
    <t>V offset</t>
  </si>
  <si>
    <t>I offset</t>
  </si>
  <si>
    <t>Nominal Power</t>
  </si>
  <si>
    <t>Nominal eff</t>
  </si>
  <si>
    <t>P_cool</t>
  </si>
  <si>
    <t>P_tot</t>
  </si>
  <si>
    <t>RPM</t>
  </si>
  <si>
    <t>Model</t>
  </si>
  <si>
    <t>PFB0412-tp06</t>
  </si>
  <si>
    <t>V_max</t>
  </si>
  <si>
    <t>V_min</t>
  </si>
  <si>
    <t>I_max</t>
  </si>
  <si>
    <t>I_min</t>
  </si>
  <si>
    <t>Nominal</t>
  </si>
  <si>
    <t>32500 RPM</t>
  </si>
  <si>
    <t>Q(m^3/s)</t>
  </si>
  <si>
    <t>η</t>
  </si>
  <si>
    <t>T_hotspot</t>
  </si>
  <si>
    <t>CFM</t>
  </si>
  <si>
    <t>with hotspot</t>
  </si>
  <si>
    <t>P_fan (W)</t>
  </si>
  <si>
    <t>T_peak</t>
  </si>
  <si>
    <t>TODO</t>
  </si>
  <si>
    <t>30k CFM</t>
  </si>
  <si>
    <t>16k CFM</t>
  </si>
  <si>
    <t>without hotspot</t>
  </si>
  <si>
    <t>14 W uniform</t>
  </si>
  <si>
    <t>2.5W hotspot / 11.5W uniform</t>
  </si>
  <si>
    <t>P</t>
  </si>
  <si>
    <t>P ~ (F1/F2)^4</t>
  </si>
  <si>
    <t>Q ~ (F1/F2)</t>
  </si>
  <si>
    <t>Q</t>
  </si>
  <si>
    <t>25000 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</si>
</sst>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vertAlign val="superscript"/>
      <sz val="11"/>
      <color theme="1"/>
      <name val="Calibri"/>
      <family val="2"/>
      <scheme val="minor"/>
    </font>
    <font>
      <sz val="8"/>
      <color theme="1"/>
      <name val="Consolas"/>
      <family val="3"/>
    </font>
    <font>
      <b/>
      <sz val="10"/>
      <color theme="1"/>
      <name val="Arial"/>
      <family val="2"/>
    </font>
    <font>
      <sz val="11"/>
      <color theme="1"/>
      <name val="Cambria Math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2" fontId="0" fillId="0" borderId="0" xfId="0" applyNumberFormat="1"/>
    <xf numFmtId="0" fontId="1" fillId="0" borderId="0" xfId="0" applyFont="1"/>
    <xf numFmtId="0" fontId="4" fillId="0" borderId="0" xfId="0" applyFont="1" applyAlignment="1">
      <alignment horizontal="left" vertical="center" indent="1"/>
    </xf>
    <xf numFmtId="2" fontId="1" fillId="0" borderId="0" xfId="0" applyNumberFormat="1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2" fontId="0" fillId="0" borderId="6" xfId="0" applyNumberFormat="1" applyBorder="1"/>
    <xf numFmtId="2" fontId="0" fillId="0" borderId="8" xfId="0" applyNumberFormat="1" applyBorder="1"/>
    <xf numFmtId="0" fontId="1" fillId="0" borderId="9" xfId="0" applyFont="1" applyBorder="1"/>
    <xf numFmtId="0" fontId="1" fillId="0" borderId="10" xfId="0" applyFont="1" applyBorder="1"/>
    <xf numFmtId="2" fontId="0" fillId="0" borderId="3" xfId="0" applyNumberFormat="1" applyBorder="1"/>
    <xf numFmtId="2" fontId="0" fillId="0" borderId="5" xfId="0" applyNumberFormat="1" applyBorder="1"/>
    <xf numFmtId="2" fontId="1" fillId="0" borderId="6" xfId="0" applyNumberFormat="1" applyFont="1" applyBorder="1"/>
    <xf numFmtId="2" fontId="1" fillId="0" borderId="8" xfId="0" applyNumberFormat="1" applyFont="1" applyBorder="1"/>
    <xf numFmtId="2" fontId="5" fillId="0" borderId="3" xfId="0" applyNumberFormat="1" applyFont="1" applyBorder="1" applyAlignment="1">
      <alignment horizontal="right" wrapText="1"/>
    </xf>
    <xf numFmtId="2" fontId="5" fillId="0" borderId="5" xfId="0" applyNumberFormat="1" applyFont="1" applyBorder="1" applyAlignment="1">
      <alignment horizontal="right" wrapText="1"/>
    </xf>
    <xf numFmtId="2" fontId="2" fillId="0" borderId="1" xfId="0" applyNumberFormat="1" applyFont="1" applyBorder="1" applyAlignment="1">
      <alignment horizontal="right" wrapText="1"/>
    </xf>
    <xf numFmtId="2" fontId="5" fillId="0" borderId="1" xfId="0" applyNumberFormat="1" applyFont="1" applyBorder="1" applyAlignment="1">
      <alignment horizontal="right" wrapText="1"/>
    </xf>
    <xf numFmtId="0" fontId="6" fillId="0" borderId="0" xfId="0" applyFont="1"/>
    <xf numFmtId="0" fontId="0" fillId="2" borderId="0" xfId="0" applyFill="1"/>
    <xf numFmtId="2" fontId="2" fillId="2" borderId="1" xfId="0" applyNumberFormat="1" applyFont="1" applyFill="1" applyBorder="1" applyAlignment="1">
      <alignment horizontal="right" wrapText="1"/>
    </xf>
    <xf numFmtId="2" fontId="0" fillId="2" borderId="0" xfId="0" applyNumberFormat="1" applyFill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/>
    <xf numFmtId="0" fontId="0" fillId="2" borderId="13" xfId="0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Alignment="1">
      <alignment wrapText="1"/>
    </xf>
    <xf numFmtId="0" fontId="0" fillId="2" borderId="11" xfId="0" applyFill="1" applyBorder="1"/>
    <xf numFmtId="0" fontId="0" fillId="2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PFB0412-TP06 - 16,000 RPM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64878366339797"/>
          <c:y val="0.11926045016077171"/>
          <c:w val="0.70009915487529872"/>
          <c:h val="0.74052864774539828"/>
        </c:manualLayout>
      </c:layout>
      <c:lineChart>
        <c:grouping val="standard"/>
        <c:varyColors val="0"/>
        <c:ser>
          <c:idx val="1"/>
          <c:order val="1"/>
          <c:tx>
            <c:strRef>
              <c:f>'23500'!$B$3</c:f>
              <c:strCache>
                <c:ptCount val="1"/>
                <c:pt idx="0">
                  <c:v>P(mmH2O)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'23500'!$A$4:$A$23</c:f>
              <c:numCache>
                <c:formatCode>General</c:formatCode>
                <c:ptCount val="20"/>
                <c:pt idx="0">
                  <c:v>0.53353761082782702</c:v>
                </c:pt>
                <c:pt idx="1">
                  <c:v>0.95800651176557206</c:v>
                </c:pt>
                <c:pt idx="2">
                  <c:v>2.30215803140177</c:v>
                </c:pt>
                <c:pt idx="3">
                  <c:v>2.7502085379471701</c:v>
                </c:pt>
                <c:pt idx="4">
                  <c:v>3.12751422766961</c:v>
                </c:pt>
                <c:pt idx="5">
                  <c:v>3.5284015229997099</c:v>
                </c:pt>
                <c:pt idx="6">
                  <c:v>3.9528704239374601</c:v>
                </c:pt>
                <c:pt idx="7">
                  <c:v>4.2122680856216403</c:v>
                </c:pt>
                <c:pt idx="8">
                  <c:v>6.16954135105681</c:v>
                </c:pt>
                <c:pt idx="9">
                  <c:v>6.64117346320986</c:v>
                </c:pt>
                <c:pt idx="10">
                  <c:v>7.0892239697552597</c:v>
                </c:pt>
                <c:pt idx="11">
                  <c:v>7.5608560819083204</c:v>
                </c:pt>
                <c:pt idx="12">
                  <c:v>8.0324881940613704</c:v>
                </c:pt>
                <c:pt idx="13">
                  <c:v>8.4805387006067701</c:v>
                </c:pt>
                <c:pt idx="14">
                  <c:v>9.5181293473434891</c:v>
                </c:pt>
                <c:pt idx="15">
                  <c:v>9.9661798538888906</c:v>
                </c:pt>
                <c:pt idx="16">
                  <c:v>11.381076190348001</c:v>
                </c:pt>
                <c:pt idx="17">
                  <c:v>11.876289908108699</c:v>
                </c:pt>
                <c:pt idx="18">
                  <c:v>12.2064323866159</c:v>
                </c:pt>
                <c:pt idx="19">
                  <c:v>17.535875253945399</c:v>
                </c:pt>
              </c:numCache>
            </c:numRef>
          </c:cat>
          <c:val>
            <c:numRef>
              <c:f>'23500'!$B$4:$B$57</c:f>
              <c:numCache>
                <c:formatCode>General</c:formatCode>
                <c:ptCount val="54"/>
                <c:pt idx="0">
                  <c:v>108.94511239391301</c:v>
                </c:pt>
                <c:pt idx="1">
                  <c:v>107.35371349109199</c:v>
                </c:pt>
                <c:pt idx="2">
                  <c:v>101.516892103232</c:v>
                </c:pt>
                <c:pt idx="3">
                  <c:v>99.722443898616106</c:v>
                </c:pt>
                <c:pt idx="4">
                  <c:v>98.177577127456203</c:v>
                </c:pt>
                <c:pt idx="5">
                  <c:v>96.507590624495606</c:v>
                </c:pt>
                <c:pt idx="6">
                  <c:v>94.811752937278598</c:v>
                </c:pt>
                <c:pt idx="7">
                  <c:v>93.980378851594097</c:v>
                </c:pt>
                <c:pt idx="8">
                  <c:v>86.030998686304898</c:v>
                </c:pt>
                <c:pt idx="9">
                  <c:v>84.305831655495197</c:v>
                </c:pt>
                <c:pt idx="10">
                  <c:v>82.648874149399802</c:v>
                </c:pt>
                <c:pt idx="11">
                  <c:v>80.951381986390402</c:v>
                </c:pt>
                <c:pt idx="12">
                  <c:v>79.298560669775995</c:v>
                </c:pt>
                <c:pt idx="13">
                  <c:v>77.820286549260501</c:v>
                </c:pt>
                <c:pt idx="14">
                  <c:v>73.7465159276842</c:v>
                </c:pt>
                <c:pt idx="15">
                  <c:v>72.259179792032995</c:v>
                </c:pt>
                <c:pt idx="16">
                  <c:v>66.954516782628602</c:v>
                </c:pt>
                <c:pt idx="17">
                  <c:v>65.387653003774204</c:v>
                </c:pt>
                <c:pt idx="18">
                  <c:v>64.609297346891907</c:v>
                </c:pt>
                <c:pt idx="19">
                  <c:v>57.414583753275501</c:v>
                </c:pt>
                <c:pt idx="20">
                  <c:v>56.967875289325697</c:v>
                </c:pt>
                <c:pt idx="21">
                  <c:v>56.534703445495502</c:v>
                </c:pt>
                <c:pt idx="22">
                  <c:v>56.074458361425997</c:v>
                </c:pt>
                <c:pt idx="23">
                  <c:v>55.553298486817802</c:v>
                </c:pt>
                <c:pt idx="24">
                  <c:v>55.025370302149803</c:v>
                </c:pt>
                <c:pt idx="25">
                  <c:v>52.480485719647703</c:v>
                </c:pt>
                <c:pt idx="26">
                  <c:v>51.532922311269203</c:v>
                </c:pt>
                <c:pt idx="27">
                  <c:v>50.4364560815742</c:v>
                </c:pt>
                <c:pt idx="28">
                  <c:v>49.218160270801903</c:v>
                </c:pt>
                <c:pt idx="29">
                  <c:v>47.850961638713002</c:v>
                </c:pt>
                <c:pt idx="30">
                  <c:v>46.3483968054271</c:v>
                </c:pt>
                <c:pt idx="31">
                  <c:v>45.415723679180303</c:v>
                </c:pt>
                <c:pt idx="32">
                  <c:v>42.152044568322502</c:v>
                </c:pt>
                <c:pt idx="33">
                  <c:v>40.747620230904502</c:v>
                </c:pt>
                <c:pt idx="34">
                  <c:v>37.062275403318303</c:v>
                </c:pt>
                <c:pt idx="35">
                  <c:v>35.379673522440498</c:v>
                </c:pt>
                <c:pt idx="36">
                  <c:v>35.300258684405001</c:v>
                </c:pt>
                <c:pt idx="37">
                  <c:v>33.658782344652799</c:v>
                </c:pt>
                <c:pt idx="38">
                  <c:v>31.841370230904499</c:v>
                </c:pt>
                <c:pt idx="39">
                  <c:v>27.921296650270499</c:v>
                </c:pt>
                <c:pt idx="40">
                  <c:v>26.093100899661</c:v>
                </c:pt>
                <c:pt idx="41">
                  <c:v>24.455169865178199</c:v>
                </c:pt>
                <c:pt idx="42">
                  <c:v>22.804830262252398</c:v>
                </c:pt>
                <c:pt idx="43">
                  <c:v>21.142082090883601</c:v>
                </c:pt>
                <c:pt idx="44">
                  <c:v>19.466925351071598</c:v>
                </c:pt>
                <c:pt idx="45">
                  <c:v>17.754542905930599</c:v>
                </c:pt>
                <c:pt idx="46">
                  <c:v>16.064495883987</c:v>
                </c:pt>
                <c:pt idx="47">
                  <c:v>14.4184106473845</c:v>
                </c:pt>
                <c:pt idx="48">
                  <c:v>12.7042555496087</c:v>
                </c:pt>
                <c:pt idx="49">
                  <c:v>10.9546473991385</c:v>
                </c:pt>
                <c:pt idx="50">
                  <c:v>9.5710920177383496</c:v>
                </c:pt>
                <c:pt idx="51">
                  <c:v>5.1846630731197401</c:v>
                </c:pt>
                <c:pt idx="52">
                  <c:v>3.47228062797869</c:v>
                </c:pt>
                <c:pt idx="53">
                  <c:v>1.9956609832556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68-C14B-BBD0-208C3304D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109488"/>
        <c:axId val="32947726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'23500'!$A$3</c15:sqref>
                        </c15:formulaRef>
                      </c:ext>
                    </c:extLst>
                    <c:strCache>
                      <c:ptCount val="1"/>
                      <c:pt idx="0">
                        <c:v>Q(CFM)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'23500'!$A$4:$A$23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0.53353761082782702</c:v>
                      </c:pt>
                      <c:pt idx="1">
                        <c:v>0.95800651176557206</c:v>
                      </c:pt>
                      <c:pt idx="2">
                        <c:v>2.30215803140177</c:v>
                      </c:pt>
                      <c:pt idx="3">
                        <c:v>2.7502085379471701</c:v>
                      </c:pt>
                      <c:pt idx="4">
                        <c:v>3.12751422766961</c:v>
                      </c:pt>
                      <c:pt idx="5">
                        <c:v>3.5284015229997099</c:v>
                      </c:pt>
                      <c:pt idx="6">
                        <c:v>3.9528704239374601</c:v>
                      </c:pt>
                      <c:pt idx="7">
                        <c:v>4.2122680856216403</c:v>
                      </c:pt>
                      <c:pt idx="8">
                        <c:v>6.16954135105681</c:v>
                      </c:pt>
                      <c:pt idx="9">
                        <c:v>6.64117346320986</c:v>
                      </c:pt>
                      <c:pt idx="10">
                        <c:v>7.0892239697552597</c:v>
                      </c:pt>
                      <c:pt idx="11">
                        <c:v>7.5608560819083204</c:v>
                      </c:pt>
                      <c:pt idx="12">
                        <c:v>8.0324881940613704</c:v>
                      </c:pt>
                      <c:pt idx="13">
                        <c:v>8.4805387006067701</c:v>
                      </c:pt>
                      <c:pt idx="14">
                        <c:v>9.5181293473434891</c:v>
                      </c:pt>
                      <c:pt idx="15">
                        <c:v>9.9661798538888906</c:v>
                      </c:pt>
                      <c:pt idx="16">
                        <c:v>11.381076190348001</c:v>
                      </c:pt>
                      <c:pt idx="17">
                        <c:v>11.876289908108699</c:v>
                      </c:pt>
                      <c:pt idx="18">
                        <c:v>12.2064323866159</c:v>
                      </c:pt>
                      <c:pt idx="19">
                        <c:v>17.535875253945399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'23500'!$A$4:$A$23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0.53353761082782702</c:v>
                      </c:pt>
                      <c:pt idx="1">
                        <c:v>0.95800651176557206</c:v>
                      </c:pt>
                      <c:pt idx="2">
                        <c:v>2.30215803140177</c:v>
                      </c:pt>
                      <c:pt idx="3">
                        <c:v>2.7502085379471701</c:v>
                      </c:pt>
                      <c:pt idx="4">
                        <c:v>3.12751422766961</c:v>
                      </c:pt>
                      <c:pt idx="5">
                        <c:v>3.5284015229997099</c:v>
                      </c:pt>
                      <c:pt idx="6">
                        <c:v>3.9528704239374601</c:v>
                      </c:pt>
                      <c:pt idx="7">
                        <c:v>4.2122680856216403</c:v>
                      </c:pt>
                      <c:pt idx="8">
                        <c:v>6.16954135105681</c:v>
                      </c:pt>
                      <c:pt idx="9">
                        <c:v>6.64117346320986</c:v>
                      </c:pt>
                      <c:pt idx="10">
                        <c:v>7.0892239697552597</c:v>
                      </c:pt>
                      <c:pt idx="11">
                        <c:v>7.5608560819083204</c:v>
                      </c:pt>
                      <c:pt idx="12">
                        <c:v>8.0324881940613704</c:v>
                      </c:pt>
                      <c:pt idx="13">
                        <c:v>8.4805387006067701</c:v>
                      </c:pt>
                      <c:pt idx="14">
                        <c:v>9.5181293473434891</c:v>
                      </c:pt>
                      <c:pt idx="15">
                        <c:v>9.9661798538888906</c:v>
                      </c:pt>
                      <c:pt idx="16">
                        <c:v>11.381076190348001</c:v>
                      </c:pt>
                      <c:pt idx="17">
                        <c:v>11.876289908108699</c:v>
                      </c:pt>
                      <c:pt idx="18">
                        <c:v>12.2064323866159</c:v>
                      </c:pt>
                      <c:pt idx="19">
                        <c:v>17.535875253945399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DB68-C14B-BBD0-208C3304D2F9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2"/>
          <c:order val="2"/>
          <c:tx>
            <c:strRef>
              <c:f>'23500'!$P$3</c:f>
              <c:strCache>
                <c:ptCount val="1"/>
                <c:pt idx="0">
                  <c:v>eta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'23500'!$P$4:$P$57</c:f>
              <c:numCache>
                <c:formatCode>General</c:formatCode>
                <c:ptCount val="54"/>
                <c:pt idx="0">
                  <c:v>1.7059007121650573E-2</c:v>
                </c:pt>
                <c:pt idx="1">
                  <c:v>2.9919950588877347E-2</c:v>
                </c:pt>
                <c:pt idx="2">
                  <c:v>6.6522792255315488E-2</c:v>
                </c:pt>
                <c:pt idx="3">
                  <c:v>7.7503300777685982E-2</c:v>
                </c:pt>
                <c:pt idx="4">
                  <c:v>8.6246637796126235E-2</c:v>
                </c:pt>
                <c:pt idx="5">
                  <c:v>9.5035021373058359E-2</c:v>
                </c:pt>
                <c:pt idx="6">
                  <c:v>0.10389123469153487</c:v>
                </c:pt>
                <c:pt idx="7">
                  <c:v>0.10928631802386085</c:v>
                </c:pt>
                <c:pt idx="8">
                  <c:v>0.14207780140531157</c:v>
                </c:pt>
                <c:pt idx="9">
                  <c:v>0.14877347503414917</c:v>
                </c:pt>
                <c:pt idx="10">
                  <c:v>0.15460892071542279</c:v>
                </c:pt>
                <c:pt idx="11">
                  <c:v>0.16033292836400018</c:v>
                </c:pt>
                <c:pt idx="12">
                  <c:v>0.16564699905491329</c:v>
                </c:pt>
                <c:pt idx="13">
                  <c:v>0.17044890614196703</c:v>
                </c:pt>
                <c:pt idx="14">
                  <c:v>0.17843807215351487</c:v>
                </c:pt>
                <c:pt idx="15">
                  <c:v>0.18182823142149629</c:v>
                </c:pt>
                <c:pt idx="16">
                  <c:v>0.18833899038494867</c:v>
                </c:pt>
                <c:pt idx="17">
                  <c:v>0.1905179780082972</c:v>
                </c:pt>
                <c:pt idx="18">
                  <c:v>0.19253293601906388</c:v>
                </c:pt>
                <c:pt idx="19">
                  <c:v>0.2274025258604867</c:v>
                </c:pt>
                <c:pt idx="20">
                  <c:v>0.24329797698521921</c:v>
                </c:pt>
                <c:pt idx="21">
                  <c:v>0.2336869320625693</c:v>
                </c:pt>
                <c:pt idx="22">
                  <c:v>0.23651442634519518</c:v>
                </c:pt>
                <c:pt idx="23">
                  <c:v>0.23892798566901399</c:v>
                </c:pt>
                <c:pt idx="24">
                  <c:v>0.24115307751526849</c:v>
                </c:pt>
                <c:pt idx="25">
                  <c:v>0.24319739695813086</c:v>
                </c:pt>
                <c:pt idx="26">
                  <c:v>0.2427457753548988</c:v>
                </c:pt>
                <c:pt idx="27">
                  <c:v>0.24137582649164044</c:v>
                </c:pt>
                <c:pt idx="28">
                  <c:v>0.23919045232598132</c:v>
                </c:pt>
                <c:pt idx="29">
                  <c:v>0.23603430476902035</c:v>
                </c:pt>
                <c:pt idx="30">
                  <c:v>0.23194822720713057</c:v>
                </c:pt>
                <c:pt idx="31">
                  <c:v>0.22961853628019685</c:v>
                </c:pt>
                <c:pt idx="32">
                  <c:v>0.21738322392280851</c:v>
                </c:pt>
                <c:pt idx="33">
                  <c:v>0.21204098536999902</c:v>
                </c:pt>
                <c:pt idx="34">
                  <c:v>0.19632147621206572</c:v>
                </c:pt>
                <c:pt idx="35">
                  <c:v>0.18848598998131638</c:v>
                </c:pt>
                <c:pt idx="36">
                  <c:v>0.18866966273152835</c:v>
                </c:pt>
                <c:pt idx="37">
                  <c:v>0.18116623894973707</c:v>
                </c:pt>
                <c:pt idx="38">
                  <c:v>0.17279263798887182</c:v>
                </c:pt>
                <c:pt idx="39">
                  <c:v>0.15370975917689014</c:v>
                </c:pt>
                <c:pt idx="40">
                  <c:v>0.15664277691410566</c:v>
                </c:pt>
                <c:pt idx="41">
                  <c:v>0.13650990028504037</c:v>
                </c:pt>
                <c:pt idx="42">
                  <c:v>0.12806664212816965</c:v>
                </c:pt>
                <c:pt idx="43">
                  <c:v>0.11943589640078295</c:v>
                </c:pt>
                <c:pt idx="44">
                  <c:v>0.11061790256312361</c:v>
                </c:pt>
                <c:pt idx="45">
                  <c:v>0.1014710686351783</c:v>
                </c:pt>
                <c:pt idx="46">
                  <c:v>9.2335561332830982E-2</c:v>
                </c:pt>
                <c:pt idx="47">
                  <c:v>9.0483622650530546E-2</c:v>
                </c:pt>
                <c:pt idx="48">
                  <c:v>7.3838971502567935E-2</c:v>
                </c:pt>
                <c:pt idx="49">
                  <c:v>6.4017918026349596E-2</c:v>
                </c:pt>
                <c:pt idx="50">
                  <c:v>5.6183890206856817E-2</c:v>
                </c:pt>
                <c:pt idx="51">
                  <c:v>3.0837505415659477E-2</c:v>
                </c:pt>
                <c:pt idx="52">
                  <c:v>2.0758811321364458E-2</c:v>
                </c:pt>
                <c:pt idx="53">
                  <c:v>1.1986464374417324E-2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68-C14B-BBD0-208C3304D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469280"/>
        <c:axId val="329475824"/>
      </c:lineChart>
      <c:catAx>
        <c:axId val="538109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CFM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477264"/>
        <c:crosses val="autoZero"/>
        <c:auto val="1"/>
        <c:lblAlgn val="ctr"/>
        <c:lblOffset val="100"/>
        <c:noMultiLvlLbl val="0"/>
      </c:catAx>
      <c:valAx>
        <c:axId val="32947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P(mmH2O)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109488"/>
        <c:crosses val="autoZero"/>
        <c:crossBetween val="between"/>
      </c:valAx>
      <c:valAx>
        <c:axId val="3294758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69280"/>
        <c:crosses val="max"/>
        <c:crossBetween val="between"/>
      </c:valAx>
      <c:catAx>
        <c:axId val="206469280"/>
        <c:scaling>
          <c:orientation val="minMax"/>
        </c:scaling>
        <c:delete val="1"/>
        <c:axPos val="b"/>
        <c:majorTickMark val="out"/>
        <c:minorTickMark val="none"/>
        <c:tickLblPos val="nextTo"/>
        <c:crossAx val="329475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'pfb0412'!$C$3</c:f>
              <c:strCache>
                <c:ptCount val="1"/>
                <c:pt idx="0">
                  <c:v>P(mmH2O)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'pfb0412'!$B$4:$B$23</c:f>
              <c:numCache>
                <c:formatCode>0.00</c:formatCode>
                <c:ptCount val="20"/>
                <c:pt idx="0">
                  <c:v>1.1901754389999999</c:v>
                </c:pt>
                <c:pt idx="1">
                  <c:v>3.8680701750000002</c:v>
                </c:pt>
                <c:pt idx="2">
                  <c:v>6.4715789470000002</c:v>
                </c:pt>
                <c:pt idx="3">
                  <c:v>9.2982456140000007</c:v>
                </c:pt>
                <c:pt idx="4">
                  <c:v>11.901754390000001</c:v>
                </c:pt>
                <c:pt idx="5">
                  <c:v>13.910179980000001</c:v>
                </c:pt>
                <c:pt idx="6">
                  <c:v>15.17473684</c:v>
                </c:pt>
                <c:pt idx="7">
                  <c:v>16.290526320000001</c:v>
                </c:pt>
                <c:pt idx="8">
                  <c:v>17.778245609999999</c:v>
                </c:pt>
                <c:pt idx="9">
                  <c:v>19.48912735</c:v>
                </c:pt>
                <c:pt idx="10">
                  <c:v>20.97684211</c:v>
                </c:pt>
                <c:pt idx="11">
                  <c:v>22.241403510000001</c:v>
                </c:pt>
                <c:pt idx="12">
                  <c:v>23.654736840000002</c:v>
                </c:pt>
                <c:pt idx="13">
                  <c:v>26.778947370000001</c:v>
                </c:pt>
                <c:pt idx="14">
                  <c:v>27.969127350000001</c:v>
                </c:pt>
                <c:pt idx="15">
                  <c:v>29.68</c:v>
                </c:pt>
                <c:pt idx="16">
                  <c:v>31.837192980000001</c:v>
                </c:pt>
                <c:pt idx="17">
                  <c:v>33.92</c:v>
                </c:pt>
                <c:pt idx="18">
                  <c:v>34.961403509999997</c:v>
                </c:pt>
                <c:pt idx="19">
                  <c:v>35.928421049999997</c:v>
                </c:pt>
              </c:numCache>
            </c:numRef>
          </c:cat>
          <c:val>
            <c:numRef>
              <c:f>'pfb0412'!$C$4:$C$23</c:f>
              <c:numCache>
                <c:formatCode>0.00</c:formatCode>
                <c:ptCount val="20"/>
                <c:pt idx="0">
                  <c:v>182.61418620000001</c:v>
                </c:pt>
                <c:pt idx="1">
                  <c:v>167.1039858</c:v>
                </c:pt>
                <c:pt idx="2">
                  <c:v>152.33235809999999</c:v>
                </c:pt>
                <c:pt idx="3">
                  <c:v>136.26821910000001</c:v>
                </c:pt>
                <c:pt idx="4">
                  <c:v>121.12731220000001</c:v>
                </c:pt>
                <c:pt idx="5">
                  <c:v>111.34111249999999</c:v>
                </c:pt>
                <c:pt idx="6">
                  <c:v>106.17103349999999</c:v>
                </c:pt>
                <c:pt idx="7">
                  <c:v>102.1088488</c:v>
                </c:pt>
                <c:pt idx="8">
                  <c:v>100.4470413</c:v>
                </c:pt>
                <c:pt idx="9">
                  <c:v>99.893105439999999</c:v>
                </c:pt>
                <c:pt idx="10">
                  <c:v>98.969867789999995</c:v>
                </c:pt>
                <c:pt idx="11">
                  <c:v>96.569490479999999</c:v>
                </c:pt>
                <c:pt idx="12">
                  <c:v>92.691939689999998</c:v>
                </c:pt>
                <c:pt idx="13">
                  <c:v>75.889219600000004</c:v>
                </c:pt>
                <c:pt idx="14">
                  <c:v>70.165204779999996</c:v>
                </c:pt>
                <c:pt idx="15">
                  <c:v>60.009725879999998</c:v>
                </c:pt>
                <c:pt idx="16">
                  <c:v>44.684156729999998</c:v>
                </c:pt>
                <c:pt idx="17">
                  <c:v>30.097191209999998</c:v>
                </c:pt>
                <c:pt idx="18">
                  <c:v>21.788153810000001</c:v>
                </c:pt>
                <c:pt idx="19">
                  <c:v>15.140923880000001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B8-4CCE-AA63-2521E28DE543}"/>
            </c:ext>
          </c:extLst>
        </c:ser>
        <c:ser>
          <c:idx val="1"/>
          <c:order val="1"/>
          <c:tx>
            <c:strRef>
              <c:f>'pfb0412'!$I$3</c:f>
              <c:strCache>
                <c:ptCount val="1"/>
                <c:pt idx="0">
                  <c:v>Linear 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'pfb0412'!$B$4:$B$23</c:f>
              <c:numCache>
                <c:formatCode>0.00</c:formatCode>
                <c:ptCount val="20"/>
                <c:pt idx="0">
                  <c:v>1.1901754389999999</c:v>
                </c:pt>
                <c:pt idx="1">
                  <c:v>3.8680701750000002</c:v>
                </c:pt>
                <c:pt idx="2">
                  <c:v>6.4715789470000002</c:v>
                </c:pt>
                <c:pt idx="3">
                  <c:v>9.2982456140000007</c:v>
                </c:pt>
                <c:pt idx="4">
                  <c:v>11.901754390000001</c:v>
                </c:pt>
                <c:pt idx="5">
                  <c:v>13.910179980000001</c:v>
                </c:pt>
                <c:pt idx="6">
                  <c:v>15.17473684</c:v>
                </c:pt>
                <c:pt idx="7">
                  <c:v>16.290526320000001</c:v>
                </c:pt>
                <c:pt idx="8">
                  <c:v>17.778245609999999</c:v>
                </c:pt>
                <c:pt idx="9">
                  <c:v>19.48912735</c:v>
                </c:pt>
                <c:pt idx="10">
                  <c:v>20.97684211</c:v>
                </c:pt>
                <c:pt idx="11">
                  <c:v>22.241403510000001</c:v>
                </c:pt>
                <c:pt idx="12">
                  <c:v>23.654736840000002</c:v>
                </c:pt>
                <c:pt idx="13">
                  <c:v>26.778947370000001</c:v>
                </c:pt>
                <c:pt idx="14">
                  <c:v>27.969127350000001</c:v>
                </c:pt>
                <c:pt idx="15">
                  <c:v>29.68</c:v>
                </c:pt>
                <c:pt idx="16">
                  <c:v>31.837192980000001</c:v>
                </c:pt>
                <c:pt idx="17">
                  <c:v>33.92</c:v>
                </c:pt>
                <c:pt idx="18">
                  <c:v>34.961403509999997</c:v>
                </c:pt>
                <c:pt idx="19">
                  <c:v>35.928421049999997</c:v>
                </c:pt>
              </c:numCache>
            </c:numRef>
          </c:cat>
          <c:val>
            <c:numRef>
              <c:f>'pfb0412'!$I$4:$I$60</c:f>
              <c:numCache>
                <c:formatCode>General</c:formatCode>
                <c:ptCount val="57"/>
                <c:pt idx="0">
                  <c:v>175.67697355172285</c:v>
                </c:pt>
                <c:pt idx="1">
                  <c:v>164.18882222469301</c:v>
                </c:pt>
                <c:pt idx="2">
                  <c:v>153.01978620848953</c:v>
                </c:pt>
                <c:pt idx="3">
                  <c:v>140.89340424693694</c:v>
                </c:pt>
                <c:pt idx="4">
                  <c:v>129.72436821357351</c:v>
                </c:pt>
                <c:pt idx="5">
                  <c:v>121.10823525031009</c:v>
                </c:pt>
                <c:pt idx="6">
                  <c:v>115.68329439135255</c:v>
                </c:pt>
                <c:pt idx="7">
                  <c:v>110.89656464315681</c:v>
                </c:pt>
                <c:pt idx="8">
                  <c:v>104.51425838372909</c:v>
                </c:pt>
                <c:pt idx="9">
                  <c:v>97.174586638031244</c:v>
                </c:pt>
                <c:pt idx="10">
                  <c:v>90.792299812274592</c:v>
                </c:pt>
                <c:pt idx="11">
                  <c:v>85.367339476746025</c:v>
                </c:pt>
                <c:pt idx="12">
                  <c:v>79.304148510984703</c:v>
                </c:pt>
                <c:pt idx="13">
                  <c:v>65.901305276096579</c:v>
                </c:pt>
                <c:pt idx="14">
                  <c:v>60.795440757663414</c:v>
                </c:pt>
                <c:pt idx="15">
                  <c:v>53.45580800800758</c:v>
                </c:pt>
                <c:pt idx="16">
                  <c:v>44.201463891082398</c:v>
                </c:pt>
                <c:pt idx="17">
                  <c:v>35.266235067823658</c:v>
                </c:pt>
                <c:pt idx="18">
                  <c:v>30.798620656194288</c:v>
                </c:pt>
                <c:pt idx="19">
                  <c:v>26.650121581131259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B8-4CCE-AA63-2521E28DE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5060880"/>
        <c:axId val="1705061840"/>
      </c:lineChart>
      <c:catAx>
        <c:axId val="1705060880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061840"/>
        <c:crosses val="autoZero"/>
        <c:auto val="1"/>
        <c:lblAlgn val="ctr"/>
        <c:lblOffset val="100"/>
        <c:noMultiLvlLbl val="0"/>
      </c:catAx>
      <c:valAx>
        <c:axId val="170506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06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PFB0412-30,000</a:t>
            </a:r>
            <a:r>
              <a:rPr lang="en-US" baseline="0"/>
              <a:t> RPM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'pfb0412'!$C$3</c:f>
              <c:strCache>
                <c:ptCount val="1"/>
                <c:pt idx="0">
                  <c:v>P(mmH2O)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'pfb0412'!$B$4:$B$23</c:f>
              <c:numCache>
                <c:formatCode>0.00</c:formatCode>
                <c:ptCount val="20"/>
                <c:pt idx="0">
                  <c:v>1.1901754389999999</c:v>
                </c:pt>
                <c:pt idx="1">
                  <c:v>3.8680701750000002</c:v>
                </c:pt>
                <c:pt idx="2">
                  <c:v>6.4715789470000002</c:v>
                </c:pt>
                <c:pt idx="3">
                  <c:v>9.2982456140000007</c:v>
                </c:pt>
                <c:pt idx="4">
                  <c:v>11.901754390000001</c:v>
                </c:pt>
                <c:pt idx="5">
                  <c:v>13.910179980000001</c:v>
                </c:pt>
                <c:pt idx="6">
                  <c:v>15.17473684</c:v>
                </c:pt>
                <c:pt idx="7">
                  <c:v>16.290526320000001</c:v>
                </c:pt>
                <c:pt idx="8">
                  <c:v>17.778245609999999</c:v>
                </c:pt>
                <c:pt idx="9">
                  <c:v>19.48912735</c:v>
                </c:pt>
                <c:pt idx="10">
                  <c:v>20.97684211</c:v>
                </c:pt>
                <c:pt idx="11">
                  <c:v>22.241403510000001</c:v>
                </c:pt>
                <c:pt idx="12">
                  <c:v>23.654736840000002</c:v>
                </c:pt>
                <c:pt idx="13">
                  <c:v>26.778947370000001</c:v>
                </c:pt>
                <c:pt idx="14">
                  <c:v>27.969127350000001</c:v>
                </c:pt>
                <c:pt idx="15">
                  <c:v>29.68</c:v>
                </c:pt>
                <c:pt idx="16">
                  <c:v>31.837192980000001</c:v>
                </c:pt>
                <c:pt idx="17">
                  <c:v>33.92</c:v>
                </c:pt>
                <c:pt idx="18">
                  <c:v>34.961403509999997</c:v>
                </c:pt>
                <c:pt idx="19">
                  <c:v>35.928421049999997</c:v>
                </c:pt>
              </c:numCache>
            </c:numRef>
          </c:cat>
          <c:val>
            <c:numRef>
              <c:f>'pfb0412'!$C$4:$C$23</c:f>
              <c:numCache>
                <c:formatCode>0.00</c:formatCode>
                <c:ptCount val="20"/>
                <c:pt idx="0">
                  <c:v>182.61418620000001</c:v>
                </c:pt>
                <c:pt idx="1">
                  <c:v>167.1039858</c:v>
                </c:pt>
                <c:pt idx="2">
                  <c:v>152.33235809999999</c:v>
                </c:pt>
                <c:pt idx="3">
                  <c:v>136.26821910000001</c:v>
                </c:pt>
                <c:pt idx="4">
                  <c:v>121.12731220000001</c:v>
                </c:pt>
                <c:pt idx="5">
                  <c:v>111.34111249999999</c:v>
                </c:pt>
                <c:pt idx="6">
                  <c:v>106.17103349999999</c:v>
                </c:pt>
                <c:pt idx="7">
                  <c:v>102.1088488</c:v>
                </c:pt>
                <c:pt idx="8">
                  <c:v>100.4470413</c:v>
                </c:pt>
                <c:pt idx="9">
                  <c:v>99.893105439999999</c:v>
                </c:pt>
                <c:pt idx="10">
                  <c:v>98.969867789999995</c:v>
                </c:pt>
                <c:pt idx="11">
                  <c:v>96.569490479999999</c:v>
                </c:pt>
                <c:pt idx="12">
                  <c:v>92.691939689999998</c:v>
                </c:pt>
                <c:pt idx="13">
                  <c:v>75.889219600000004</c:v>
                </c:pt>
                <c:pt idx="14">
                  <c:v>70.165204779999996</c:v>
                </c:pt>
                <c:pt idx="15">
                  <c:v>60.009725879999998</c:v>
                </c:pt>
                <c:pt idx="16">
                  <c:v>44.684156729999998</c:v>
                </c:pt>
                <c:pt idx="17">
                  <c:v>30.097191209999998</c:v>
                </c:pt>
                <c:pt idx="18">
                  <c:v>21.788153810000001</c:v>
                </c:pt>
                <c:pt idx="19">
                  <c:v>15.140923880000001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DA-452D-BA8B-416C6A823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75232"/>
        <c:axId val="129369952"/>
      </c:lineChart>
      <c:lineChart>
        <c:grouping val="standard"/>
        <c:varyColors val="0"/>
        <c:ser>
          <c:idx val="2"/>
          <c:order val="1"/>
          <c:tx>
            <c:strRef>
              <c:f>'pfb0412'!$Q$3</c:f>
              <c:strCache>
                <c:ptCount val="1"/>
                <c:pt idx="0">
                  <c:v>η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'pfb0412'!$Q$4:$Q$23</c:f>
              <c:numCache>
                <c:formatCode>General</c:formatCode>
                <c:ptCount val="20"/>
                <c:pt idx="0">
                  <c:v>3.643905699627073E-2</c:v>
                </c:pt>
                <c:pt idx="1">
                  <c:v>0.10507113052563932</c:v>
                </c:pt>
                <c:pt idx="2">
                  <c:v>0.15545422448927357</c:v>
                </c:pt>
                <c:pt idx="3">
                  <c:v>0.19391148224680999</c:v>
                </c:pt>
                <c:pt idx="4">
                  <c:v>0.21422585186142379</c:v>
                </c:pt>
                <c:pt idx="5">
                  <c:v>0.22357050432004719</c:v>
                </c:pt>
                <c:pt idx="6">
                  <c:v>0.22602218675175637</c:v>
                </c:pt>
                <c:pt idx="7">
                  <c:v>0.22688425322889888</c:v>
                </c:pt>
                <c:pt idx="8">
                  <c:v>0.23691502497887179</c:v>
                </c:pt>
                <c:pt idx="9">
                  <c:v>0.2513208193158985</c:v>
                </c:pt>
                <c:pt idx="10">
                  <c:v>0.26088303579370353</c:v>
                </c:pt>
                <c:pt idx="11">
                  <c:v>0.26282720922388808</c:v>
                </c:pt>
                <c:pt idx="12">
                  <c:v>0.2613679480891099</c:v>
                </c:pt>
                <c:pt idx="13">
                  <c:v>0.23607172726881021</c:v>
                </c:pt>
                <c:pt idx="14">
                  <c:v>0.22222815344266209</c:v>
                </c:pt>
                <c:pt idx="15">
                  <c:v>0.19667882161449476</c:v>
                </c:pt>
                <c:pt idx="16">
                  <c:v>0.15324131650628994</c:v>
                </c:pt>
                <c:pt idx="17">
                  <c:v>0.10730571294691088</c:v>
                </c:pt>
                <c:pt idx="18">
                  <c:v>7.8151661867045155E-2</c:v>
                </c:pt>
                <c:pt idx="19">
                  <c:v>5.4492690488590234E-2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DA-452D-BA8B-416C6A823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70912"/>
        <c:axId val="129387232"/>
      </c:lineChart>
      <c:catAx>
        <c:axId val="129375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CFM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9952"/>
        <c:crosses val="autoZero"/>
        <c:auto val="1"/>
        <c:lblAlgn val="ctr"/>
        <c:lblOffset val="100"/>
        <c:noMultiLvlLbl val="0"/>
      </c:catAx>
      <c:valAx>
        <c:axId val="12936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P(mmH2O)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75232"/>
        <c:crosses val="autoZero"/>
        <c:crossBetween val="between"/>
      </c:valAx>
      <c:valAx>
        <c:axId val="1293872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70912"/>
        <c:crosses val="max"/>
        <c:crossBetween val="between"/>
      </c:valAx>
      <c:catAx>
        <c:axId val="129370912"/>
        <c:scaling>
          <c:orientation val="minMax"/>
        </c:scaling>
        <c:delete val="1"/>
        <c:axPos val="b"/>
        <c:majorTickMark val="out"/>
        <c:minorTickMark val="none"/>
        <c:tickLblPos val="nextTo"/>
        <c:crossAx val="1293872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'pfb0412'!$P$3</c:f>
              <c:strCache>
                <c:ptCount val="1"/>
                <c:pt idx="0">
                  <c:v>P_tot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'pfb0412'!$B$4:$B$23</c:f>
              <c:numCache>
                <c:formatCode>0.00</c:formatCode>
                <c:ptCount val="20"/>
                <c:pt idx="0">
                  <c:v>1.1901754389999999</c:v>
                </c:pt>
                <c:pt idx="1">
                  <c:v>3.8680701750000002</c:v>
                </c:pt>
                <c:pt idx="2">
                  <c:v>6.4715789470000002</c:v>
                </c:pt>
                <c:pt idx="3">
                  <c:v>9.2982456140000007</c:v>
                </c:pt>
                <c:pt idx="4">
                  <c:v>11.901754390000001</c:v>
                </c:pt>
                <c:pt idx="5">
                  <c:v>13.910179980000001</c:v>
                </c:pt>
                <c:pt idx="6">
                  <c:v>15.17473684</c:v>
                </c:pt>
                <c:pt idx="7">
                  <c:v>16.290526320000001</c:v>
                </c:pt>
                <c:pt idx="8">
                  <c:v>17.778245609999999</c:v>
                </c:pt>
                <c:pt idx="9">
                  <c:v>19.48912735</c:v>
                </c:pt>
                <c:pt idx="10">
                  <c:v>20.97684211</c:v>
                </c:pt>
                <c:pt idx="11">
                  <c:v>22.241403510000001</c:v>
                </c:pt>
                <c:pt idx="12">
                  <c:v>23.654736840000002</c:v>
                </c:pt>
                <c:pt idx="13">
                  <c:v>26.778947370000001</c:v>
                </c:pt>
                <c:pt idx="14">
                  <c:v>27.969127350000001</c:v>
                </c:pt>
                <c:pt idx="15">
                  <c:v>29.68</c:v>
                </c:pt>
                <c:pt idx="16">
                  <c:v>31.837192980000001</c:v>
                </c:pt>
                <c:pt idx="17">
                  <c:v>33.92</c:v>
                </c:pt>
                <c:pt idx="18">
                  <c:v>34.961403509999997</c:v>
                </c:pt>
                <c:pt idx="19">
                  <c:v>35.928421049999997</c:v>
                </c:pt>
              </c:numCache>
            </c:numRef>
          </c:xVal>
          <c:yVal>
            <c:numRef>
              <c:f>'pfb0412'!$P$4:$P$23</c:f>
              <c:numCache>
                <c:formatCode>General</c:formatCode>
                <c:ptCount val="20"/>
                <c:pt idx="0">
                  <c:v>27.603749999999998</c:v>
                </c:pt>
                <c:pt idx="1">
                  <c:v>28.47</c:v>
                </c:pt>
                <c:pt idx="2">
                  <c:v>29.348749999999995</c:v>
                </c:pt>
                <c:pt idx="3">
                  <c:v>30.24</c:v>
                </c:pt>
                <c:pt idx="4">
                  <c:v>31.143749999999997</c:v>
                </c:pt>
                <c:pt idx="5">
                  <c:v>32.06</c:v>
                </c:pt>
                <c:pt idx="6">
                  <c:v>32.988749999999996</c:v>
                </c:pt>
                <c:pt idx="7">
                  <c:v>33.93</c:v>
                </c:pt>
                <c:pt idx="8">
                  <c:v>34.883749999999999</c:v>
                </c:pt>
                <c:pt idx="9">
                  <c:v>35.849999999999994</c:v>
                </c:pt>
                <c:pt idx="10">
                  <c:v>36.828749999999999</c:v>
                </c:pt>
                <c:pt idx="11">
                  <c:v>37.82</c:v>
                </c:pt>
                <c:pt idx="12">
                  <c:v>38.823750000000004</c:v>
                </c:pt>
                <c:pt idx="13">
                  <c:v>39.840000000000003</c:v>
                </c:pt>
                <c:pt idx="14">
                  <c:v>40.868749999999999</c:v>
                </c:pt>
                <c:pt idx="15">
                  <c:v>41.910000000000004</c:v>
                </c:pt>
                <c:pt idx="16">
                  <c:v>42.963749999999997</c:v>
                </c:pt>
                <c:pt idx="17">
                  <c:v>44.03</c:v>
                </c:pt>
                <c:pt idx="18">
                  <c:v>45.108750000000001</c:v>
                </c:pt>
                <c:pt idx="19">
                  <c:v>46.199999999999996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6B-48DD-9D4E-231F4B916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84016"/>
        <c:axId val="94196496"/>
      </c:scatterChart>
      <c:valAx>
        <c:axId val="94184016"/>
        <c:scaling>
          <c:orientation val="minMax"/>
          <c:max val="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96496"/>
        <c:crosses val="autoZero"/>
        <c:crossBetween val="midCat"/>
      </c:valAx>
      <c:valAx>
        <c:axId val="9419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84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'pfb0412-tp'!$B$3</c:f>
              <c:strCache>
                <c:ptCount val="1"/>
                <c:pt idx="0">
                  <c:v>P(mmH2O)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'pfb0412-tp'!$A$4:$A$23</c:f>
              <c:numCache>
                <c:formatCode>0.00</c:formatCode>
                <c:ptCount val="20"/>
                <c:pt idx="0">
                  <c:v>0.20825552825552399</c:v>
                </c:pt>
                <c:pt idx="1">
                  <c:v>1.8222390499630501</c:v>
                </c:pt>
                <c:pt idx="2">
                  <c:v>3.5403471580711598</c:v>
                </c:pt>
                <c:pt idx="3">
                  <c:v>5.15432432432433</c:v>
                </c:pt>
                <c:pt idx="4">
                  <c:v>6.2997297297297301</c:v>
                </c:pt>
                <c:pt idx="5">
                  <c:v>7.4451351351351303</c:v>
                </c:pt>
                <c:pt idx="6">
                  <c:v>10.495182447492001</c:v>
                </c:pt>
                <c:pt idx="7">
                  <c:v>9.5406749633487706</c:v>
                </c:pt>
                <c:pt idx="8">
                  <c:v>8.8898736837645291</c:v>
                </c:pt>
                <c:pt idx="9">
                  <c:v>8.0221375850720094</c:v>
                </c:pt>
                <c:pt idx="10">
                  <c:v>11.666624750743701</c:v>
                </c:pt>
                <c:pt idx="11">
                  <c:v>13.1851621290204</c:v>
                </c:pt>
                <c:pt idx="12">
                  <c:v>14.5735392513803</c:v>
                </c:pt>
                <c:pt idx="13">
                  <c:v>15.831752940082801</c:v>
                </c:pt>
                <c:pt idx="14">
                  <c:v>17.393676011084899</c:v>
                </c:pt>
                <c:pt idx="15">
                  <c:v>16.786263601966699</c:v>
                </c:pt>
                <c:pt idx="16">
                  <c:v>18.261408932036801</c:v>
                </c:pt>
                <c:pt idx="17">
                  <c:v>19.215919593920798</c:v>
                </c:pt>
                <c:pt idx="18">
                  <c:v>19.996881129421901</c:v>
                </c:pt>
                <c:pt idx="19">
                  <c:v>21.7757358417917</c:v>
                </c:pt>
              </c:numCache>
            </c:numRef>
          </c:cat>
          <c:val>
            <c:numRef>
              <c:f>'pfb0412-tp'!$B$4:$B$23</c:f>
              <c:numCache>
                <c:formatCode>0.00</c:formatCode>
                <c:ptCount val="20"/>
                <c:pt idx="0">
                  <c:v>35.157432889799303</c:v>
                </c:pt>
                <c:pt idx="1">
                  <c:v>31.737607816912998</c:v>
                </c:pt>
                <c:pt idx="2">
                  <c:v>28.268221574344</c:v>
                </c:pt>
                <c:pt idx="3">
                  <c:v>24.997084548104901</c:v>
                </c:pt>
                <c:pt idx="4">
                  <c:v>22.816326530612201</c:v>
                </c:pt>
                <c:pt idx="5">
                  <c:v>20.685131195335199</c:v>
                </c:pt>
                <c:pt idx="6">
                  <c:v>16.0878053361021</c:v>
                </c:pt>
                <c:pt idx="7">
                  <c:v>17.037756437127602</c:v>
                </c:pt>
                <c:pt idx="8">
                  <c:v>17.987713588305599</c:v>
                </c:pt>
                <c:pt idx="9">
                  <c:v>19.4332977297009</c:v>
                </c:pt>
                <c:pt idx="10">
                  <c:v>15.137849697462199</c:v>
                </c:pt>
                <c:pt idx="11">
                  <c:v>14.1878940588222</c:v>
                </c:pt>
                <c:pt idx="12">
                  <c:v>13.0727299276226</c:v>
                </c:pt>
                <c:pt idx="13">
                  <c:v>11.5858444193565</c:v>
                </c:pt>
                <c:pt idx="14">
                  <c:v>9.3142147900864494</c:v>
                </c:pt>
                <c:pt idx="15">
                  <c:v>10.470680288156901</c:v>
                </c:pt>
                <c:pt idx="16">
                  <c:v>7.9512364075091302</c:v>
                </c:pt>
                <c:pt idx="17">
                  <c:v>6.3404437735541297</c:v>
                </c:pt>
                <c:pt idx="18">
                  <c:v>4.4405355213505997</c:v>
                </c:pt>
                <c:pt idx="19">
                  <c:v>0.88853024324490004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20-4584-AD9F-A9A41FF93938}"/>
            </c:ext>
          </c:extLst>
        </c:ser>
        <c:ser>
          <c:idx val="1"/>
          <c:order val="1"/>
          <c:tx>
            <c:strRef>
              <c:f>'pfb0412-tp'!$H$3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'pfb0412-tp'!$A$4:$A$23</c:f>
              <c:numCache>
                <c:formatCode>0.00</c:formatCode>
                <c:ptCount val="20"/>
                <c:pt idx="0">
                  <c:v>0.20825552825552399</c:v>
                </c:pt>
                <c:pt idx="1">
                  <c:v>1.8222390499630501</c:v>
                </c:pt>
                <c:pt idx="2">
                  <c:v>3.5403471580711598</c:v>
                </c:pt>
                <c:pt idx="3">
                  <c:v>5.15432432432433</c:v>
                </c:pt>
                <c:pt idx="4">
                  <c:v>6.2997297297297301</c:v>
                </c:pt>
                <c:pt idx="5">
                  <c:v>7.4451351351351303</c:v>
                </c:pt>
                <c:pt idx="6">
                  <c:v>10.495182447492001</c:v>
                </c:pt>
                <c:pt idx="7">
                  <c:v>9.5406749633487706</c:v>
                </c:pt>
                <c:pt idx="8">
                  <c:v>8.8898736837645291</c:v>
                </c:pt>
                <c:pt idx="9">
                  <c:v>8.0221375850720094</c:v>
                </c:pt>
                <c:pt idx="10">
                  <c:v>11.666624750743701</c:v>
                </c:pt>
                <c:pt idx="11">
                  <c:v>13.1851621290204</c:v>
                </c:pt>
                <c:pt idx="12">
                  <c:v>14.5735392513803</c:v>
                </c:pt>
                <c:pt idx="13">
                  <c:v>15.831752940082801</c:v>
                </c:pt>
                <c:pt idx="14">
                  <c:v>17.393676011084899</c:v>
                </c:pt>
                <c:pt idx="15">
                  <c:v>16.786263601966699</c:v>
                </c:pt>
                <c:pt idx="16">
                  <c:v>18.261408932036801</c:v>
                </c:pt>
                <c:pt idx="17">
                  <c:v>19.215919593920798</c:v>
                </c:pt>
                <c:pt idx="18">
                  <c:v>19.996881129421901</c:v>
                </c:pt>
                <c:pt idx="19">
                  <c:v>21.7757358417917</c:v>
                </c:pt>
              </c:numCache>
            </c:numRef>
          </c:cat>
          <c:val>
            <c:numRef>
              <c:f>'pfb0412-tp'!$H$4:$H$60</c:f>
              <c:numCache>
                <c:formatCode>General</c:formatCode>
                <c:ptCount val="5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20-4584-AD9F-A9A41FF93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5060880"/>
        <c:axId val="1705061840"/>
      </c:lineChart>
      <c:catAx>
        <c:axId val="1705060880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061840"/>
        <c:crosses val="autoZero"/>
        <c:auto val="1"/>
        <c:lblAlgn val="ctr"/>
        <c:lblOffset val="100"/>
        <c:noMultiLvlLbl val="0"/>
      </c:catAx>
      <c:valAx>
        <c:axId val="170506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06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PFB0412-TP06 - 16,000 RPM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'pfb0412-tp'!$B$3</c:f>
              <c:strCache>
                <c:ptCount val="1"/>
                <c:pt idx="0">
                  <c:v>P(mmH2O)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'pfb0412-tp'!$A$4:$A$23</c:f>
              <c:numCache>
                <c:formatCode>0.00</c:formatCode>
                <c:ptCount val="20"/>
                <c:pt idx="0">
                  <c:v>0.20825552825552399</c:v>
                </c:pt>
                <c:pt idx="1">
                  <c:v>1.8222390499630501</c:v>
                </c:pt>
                <c:pt idx="2">
                  <c:v>3.5403471580711598</c:v>
                </c:pt>
                <c:pt idx="3">
                  <c:v>5.15432432432433</c:v>
                </c:pt>
                <c:pt idx="4">
                  <c:v>6.2997297297297301</c:v>
                </c:pt>
                <c:pt idx="5">
                  <c:v>7.4451351351351303</c:v>
                </c:pt>
                <c:pt idx="6">
                  <c:v>10.495182447492001</c:v>
                </c:pt>
                <c:pt idx="7">
                  <c:v>9.5406749633487706</c:v>
                </c:pt>
                <c:pt idx="8">
                  <c:v>8.8898736837645291</c:v>
                </c:pt>
                <c:pt idx="9">
                  <c:v>8.0221375850720094</c:v>
                </c:pt>
                <c:pt idx="10">
                  <c:v>11.666624750743701</c:v>
                </c:pt>
                <c:pt idx="11">
                  <c:v>13.1851621290204</c:v>
                </c:pt>
                <c:pt idx="12">
                  <c:v>14.5735392513803</c:v>
                </c:pt>
                <c:pt idx="13">
                  <c:v>15.831752940082801</c:v>
                </c:pt>
                <c:pt idx="14">
                  <c:v>17.393676011084899</c:v>
                </c:pt>
                <c:pt idx="15">
                  <c:v>16.786263601966699</c:v>
                </c:pt>
                <c:pt idx="16">
                  <c:v>18.261408932036801</c:v>
                </c:pt>
                <c:pt idx="17">
                  <c:v>19.215919593920798</c:v>
                </c:pt>
                <c:pt idx="18">
                  <c:v>19.996881129421901</c:v>
                </c:pt>
                <c:pt idx="19">
                  <c:v>21.7757358417917</c:v>
                </c:pt>
              </c:numCache>
            </c:numRef>
          </c:cat>
          <c:val>
            <c:numRef>
              <c:f>'pfb0412-tp'!$B$4:$B$23</c:f>
              <c:numCache>
                <c:formatCode>0.00</c:formatCode>
                <c:ptCount val="20"/>
                <c:pt idx="0">
                  <c:v>35.157432889799303</c:v>
                </c:pt>
                <c:pt idx="1">
                  <c:v>31.737607816912998</c:v>
                </c:pt>
                <c:pt idx="2">
                  <c:v>28.268221574344</c:v>
                </c:pt>
                <c:pt idx="3">
                  <c:v>24.997084548104901</c:v>
                </c:pt>
                <c:pt idx="4">
                  <c:v>22.816326530612201</c:v>
                </c:pt>
                <c:pt idx="5">
                  <c:v>20.685131195335199</c:v>
                </c:pt>
                <c:pt idx="6">
                  <c:v>16.0878053361021</c:v>
                </c:pt>
                <c:pt idx="7">
                  <c:v>17.037756437127602</c:v>
                </c:pt>
                <c:pt idx="8">
                  <c:v>17.987713588305599</c:v>
                </c:pt>
                <c:pt idx="9">
                  <c:v>19.4332977297009</c:v>
                </c:pt>
                <c:pt idx="10">
                  <c:v>15.137849697462199</c:v>
                </c:pt>
                <c:pt idx="11">
                  <c:v>14.1878940588222</c:v>
                </c:pt>
                <c:pt idx="12">
                  <c:v>13.0727299276226</c:v>
                </c:pt>
                <c:pt idx="13">
                  <c:v>11.5858444193565</c:v>
                </c:pt>
                <c:pt idx="14">
                  <c:v>9.3142147900864494</c:v>
                </c:pt>
                <c:pt idx="15">
                  <c:v>10.470680288156901</c:v>
                </c:pt>
                <c:pt idx="16">
                  <c:v>7.9512364075091302</c:v>
                </c:pt>
                <c:pt idx="17">
                  <c:v>6.3404437735541297</c:v>
                </c:pt>
                <c:pt idx="18">
                  <c:v>4.4405355213505997</c:v>
                </c:pt>
                <c:pt idx="19">
                  <c:v>0.88853024324490004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2E-4C40-BF77-6C99BE4E3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109488"/>
        <c:axId val="32947726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'pfb0412-tp'!$A$3</c15:sqref>
                        </c15:formulaRef>
                      </c:ext>
                    </c:extLst>
                    <c:strCache>
                      <c:ptCount val="1"/>
                      <c:pt idx="0">
                        <c:v>Q(CFM)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'pfb0412-tp'!$A$4:$A$23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0.20825552825552399</c:v>
                      </c:pt>
                      <c:pt idx="1">
                        <c:v>1.8222390499630501</c:v>
                      </c:pt>
                      <c:pt idx="2">
                        <c:v>3.5403471580711598</c:v>
                      </c:pt>
                      <c:pt idx="3">
                        <c:v>5.15432432432433</c:v>
                      </c:pt>
                      <c:pt idx="4">
                        <c:v>6.2997297297297301</c:v>
                      </c:pt>
                      <c:pt idx="5">
                        <c:v>7.4451351351351303</c:v>
                      </c:pt>
                      <c:pt idx="6">
                        <c:v>10.495182447492001</c:v>
                      </c:pt>
                      <c:pt idx="7">
                        <c:v>9.5406749633487706</c:v>
                      </c:pt>
                      <c:pt idx="8">
                        <c:v>8.8898736837645291</c:v>
                      </c:pt>
                      <c:pt idx="9">
                        <c:v>8.0221375850720094</c:v>
                      </c:pt>
                      <c:pt idx="10">
                        <c:v>11.666624750743701</c:v>
                      </c:pt>
                      <c:pt idx="11">
                        <c:v>13.1851621290204</c:v>
                      </c:pt>
                      <c:pt idx="12">
                        <c:v>14.5735392513803</c:v>
                      </c:pt>
                      <c:pt idx="13">
                        <c:v>15.831752940082801</c:v>
                      </c:pt>
                      <c:pt idx="14">
                        <c:v>17.393676011084899</c:v>
                      </c:pt>
                      <c:pt idx="15">
                        <c:v>16.786263601966699</c:v>
                      </c:pt>
                      <c:pt idx="16">
                        <c:v>18.261408932036801</c:v>
                      </c:pt>
                      <c:pt idx="17">
                        <c:v>19.215919593920798</c:v>
                      </c:pt>
                      <c:pt idx="18">
                        <c:v>19.996881129421901</c:v>
                      </c:pt>
                      <c:pt idx="19">
                        <c:v>21.7757358417917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'pfb0412-tp'!$A$4:$A$23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0.20825552825552399</c:v>
                      </c:pt>
                      <c:pt idx="1">
                        <c:v>1.8222390499630501</c:v>
                      </c:pt>
                      <c:pt idx="2">
                        <c:v>3.5403471580711598</c:v>
                      </c:pt>
                      <c:pt idx="3">
                        <c:v>5.15432432432433</c:v>
                      </c:pt>
                      <c:pt idx="4">
                        <c:v>6.2997297297297301</c:v>
                      </c:pt>
                      <c:pt idx="5">
                        <c:v>7.4451351351351303</c:v>
                      </c:pt>
                      <c:pt idx="6">
                        <c:v>10.495182447492001</c:v>
                      </c:pt>
                      <c:pt idx="7">
                        <c:v>9.5406749633487706</c:v>
                      </c:pt>
                      <c:pt idx="8">
                        <c:v>8.8898736837645291</c:v>
                      </c:pt>
                      <c:pt idx="9">
                        <c:v>8.0221375850720094</c:v>
                      </c:pt>
                      <c:pt idx="10">
                        <c:v>11.666624750743701</c:v>
                      </c:pt>
                      <c:pt idx="11">
                        <c:v>13.1851621290204</c:v>
                      </c:pt>
                      <c:pt idx="12">
                        <c:v>14.5735392513803</c:v>
                      </c:pt>
                      <c:pt idx="13">
                        <c:v>15.831752940082801</c:v>
                      </c:pt>
                      <c:pt idx="14">
                        <c:v>17.393676011084899</c:v>
                      </c:pt>
                      <c:pt idx="15">
                        <c:v>16.786263601966699</c:v>
                      </c:pt>
                      <c:pt idx="16">
                        <c:v>18.261408932036801</c:v>
                      </c:pt>
                      <c:pt idx="17">
                        <c:v>19.215919593920798</c:v>
                      </c:pt>
                      <c:pt idx="18">
                        <c:v>19.996881129421901</c:v>
                      </c:pt>
                      <c:pt idx="19">
                        <c:v>21.7757358417917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62E-4C40-BF77-6C99BE4E3578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2"/>
          <c:order val="2"/>
          <c:tx>
            <c:strRef>
              <c:f>'pfb0412-tp'!$P$3</c:f>
              <c:strCache>
                <c:ptCount val="1"/>
                <c:pt idx="0">
                  <c:v>eta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'pfb0412-tp'!$P$4:$P$23</c:f>
              <c:numCache>
                <c:formatCode>General</c:formatCode>
                <c:ptCount val="20"/>
                <c:pt idx="0">
                  <c:v>6.2497467939006575E-3</c:v>
                </c:pt>
                <c:pt idx="1">
                  <c:v>4.7863602028619355E-2</c:v>
                </c:pt>
                <c:pt idx="2">
                  <c:v>8.0187420546886573E-2</c:v>
                </c:pt>
                <c:pt idx="3">
                  <c:v>0.10018812435284535</c:v>
                </c:pt>
                <c:pt idx="4">
                  <c:v>0.10944834654170903</c:v>
                </c:pt>
                <c:pt idx="5">
                  <c:v>0.1148560057004538</c:v>
                </c:pt>
                <c:pt idx="6">
                  <c:v>0.11927297996997903</c:v>
                </c:pt>
                <c:pt idx="7">
                  <c:v>0.11677598581035838</c:v>
                </c:pt>
                <c:pt idx="8">
                  <c:v>0.11621201685473606</c:v>
                </c:pt>
                <c:pt idx="9">
                  <c:v>0.115067200689463</c:v>
                </c:pt>
                <c:pt idx="10">
                  <c:v>0.12223080844350831</c:v>
                </c:pt>
                <c:pt idx="11">
                  <c:v>0.12612241051686757</c:v>
                </c:pt>
                <c:pt idx="12">
                  <c:v>0.12544189690405624</c:v>
                </c:pt>
                <c:pt idx="13">
                  <c:v>0.1182382724601206</c:v>
                </c:pt>
                <c:pt idx="14">
                  <c:v>0.10175142012132402</c:v>
                </c:pt>
                <c:pt idx="15">
                  <c:v>0.11150854903143559</c:v>
                </c:pt>
                <c:pt idx="16">
                  <c:v>8.9899632391654563E-2</c:v>
                </c:pt>
                <c:pt idx="17">
                  <c:v>7.426523283128296E-2</c:v>
                </c:pt>
                <c:pt idx="18">
                  <c:v>5.3442998451255518E-2</c:v>
                </c:pt>
                <c:pt idx="19">
                  <c:v>1.1316537077865989E-2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2E-4C40-BF77-6C99BE4E3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469280"/>
        <c:axId val="329475824"/>
      </c:lineChart>
      <c:catAx>
        <c:axId val="538109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CFM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477264"/>
        <c:crosses val="autoZero"/>
        <c:auto val="1"/>
        <c:lblAlgn val="ctr"/>
        <c:lblOffset val="100"/>
        <c:noMultiLvlLbl val="0"/>
      </c:catAx>
      <c:valAx>
        <c:axId val="32947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P(mmH2O)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109488"/>
        <c:crosses val="autoZero"/>
        <c:crossBetween val="between"/>
      </c:valAx>
      <c:valAx>
        <c:axId val="3294758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69280"/>
        <c:crosses val="max"/>
        <c:crossBetween val="between"/>
      </c:valAx>
      <c:catAx>
        <c:axId val="206469280"/>
        <c:scaling>
          <c:orientation val="minMax"/>
        </c:scaling>
        <c:delete val="1"/>
        <c:axPos val="b"/>
        <c:majorTickMark val="out"/>
        <c:minorTickMark val="none"/>
        <c:tickLblPos val="nextTo"/>
        <c:crossAx val="329475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houa!$B$3</c:f>
              <c:strCache>
                <c:ptCount val="1"/>
                <c:pt idx="0">
                  <c:v>P(mmH2O)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22846427701691924"/>
                  <c:y val="-0.133504558640696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houa!$A$4:$A$60</c:f>
              <c:numCache>
                <c:formatCode>0.00</c:formatCode>
                <c:ptCount val="57"/>
                <c:pt idx="0">
                  <c:v>1.95249636311174</c:v>
                </c:pt>
                <c:pt idx="1">
                  <c:v>6.9731575201365503</c:v>
                </c:pt>
                <c:pt idx="2">
                  <c:v>13.388429752065999</c:v>
                </c:pt>
                <c:pt idx="3">
                  <c:v>18.688033553194298</c:v>
                </c:pt>
                <c:pt idx="4">
                  <c:v>24.545471569723301</c:v>
                </c:pt>
                <c:pt idx="5">
                  <c:v>30.681818181818102</c:v>
                </c:pt>
                <c:pt idx="6">
                  <c:v>35.702479338842899</c:v>
                </c:pt>
                <c:pt idx="7">
                  <c:v>40.444231900301801</c:v>
                </c:pt>
                <c:pt idx="8">
                  <c:v>46.022727272727202</c:v>
                </c:pt>
                <c:pt idx="9">
                  <c:v>51.601239669421403</c:v>
                </c:pt>
                <c:pt idx="10">
                  <c:v>57.737603305785001</c:v>
                </c:pt>
                <c:pt idx="11">
                  <c:v>61.642561983470998</c:v>
                </c:pt>
                <c:pt idx="12">
                  <c:v>66.105371900826299</c:v>
                </c:pt>
                <c:pt idx="13">
                  <c:v>70.847107438016394</c:v>
                </c:pt>
                <c:pt idx="14">
                  <c:v>76.425619834710702</c:v>
                </c:pt>
                <c:pt idx="15">
                  <c:v>81.725206611570201</c:v>
                </c:pt>
                <c:pt idx="16">
                  <c:v>87.861570247933798</c:v>
                </c:pt>
                <c:pt idx="17">
                  <c:v>93.997933884297495</c:v>
                </c:pt>
                <c:pt idx="18">
                  <c:v>98.739669421487505</c:v>
                </c:pt>
                <c:pt idx="19">
                  <c:v>103.481404958677</c:v>
                </c:pt>
                <c:pt idx="20">
                  <c:v>108.50206611570199</c:v>
                </c:pt>
                <c:pt idx="21">
                  <c:v>113.80165289256099</c:v>
                </c:pt>
                <c:pt idx="22">
                  <c:v>117.985537190082</c:v>
                </c:pt>
                <c:pt idx="23">
                  <c:v>122.72727272727199</c:v>
                </c:pt>
                <c:pt idx="24">
                  <c:v>126.353305785123</c:v>
                </c:pt>
                <c:pt idx="25">
                  <c:v>130.537190082644</c:v>
                </c:pt>
                <c:pt idx="26">
                  <c:v>134.44214876033001</c:v>
                </c:pt>
                <c:pt idx="27">
                  <c:v>139.18388429752</c:v>
                </c:pt>
                <c:pt idx="28">
                  <c:v>143.36776859504101</c:v>
                </c:pt>
                <c:pt idx="29">
                  <c:v>147.55165289256101</c:v>
                </c:pt>
                <c:pt idx="30">
                  <c:v>150.34090909090901</c:v>
                </c:pt>
                <c:pt idx="31">
                  <c:v>154.24586776859499</c:v>
                </c:pt>
                <c:pt idx="32">
                  <c:v>158.70867768594999</c:v>
                </c:pt>
                <c:pt idx="33">
                  <c:v>162.613636363636</c:v>
                </c:pt>
                <c:pt idx="34">
                  <c:v>166.79752066115699</c:v>
                </c:pt>
                <c:pt idx="35">
                  <c:v>171.260330578512</c:v>
                </c:pt>
                <c:pt idx="36">
                  <c:v>175.16528925619801</c:v>
                </c:pt>
                <c:pt idx="37">
                  <c:v>178.79132231404901</c:v>
                </c:pt>
                <c:pt idx="38">
                  <c:v>183.53305785123899</c:v>
                </c:pt>
                <c:pt idx="39">
                  <c:v>187.15909090909</c:v>
                </c:pt>
                <c:pt idx="40">
                  <c:v>191.34297520661099</c:v>
                </c:pt>
                <c:pt idx="41">
                  <c:v>195.52685950413201</c:v>
                </c:pt>
                <c:pt idx="42">
                  <c:v>199.15292661052001</c:v>
                </c:pt>
                <c:pt idx="43">
                  <c:v>203.05785123966899</c:v>
                </c:pt>
                <c:pt idx="44">
                  <c:v>207.24173553719001</c:v>
                </c:pt>
                <c:pt idx="45">
                  <c:v>211.42561983471001</c:v>
                </c:pt>
                <c:pt idx="46">
                  <c:v>214.772727272727</c:v>
                </c:pt>
                <c:pt idx="47">
                  <c:v>218.398794379116</c:v>
                </c:pt>
                <c:pt idx="48">
                  <c:v>223.41945553613999</c:v>
                </c:pt>
                <c:pt idx="49">
                  <c:v>226.76656297415701</c:v>
                </c:pt>
                <c:pt idx="50">
                  <c:v>232.06611570247901</c:v>
                </c:pt>
                <c:pt idx="51">
                  <c:v>236.52892561983401</c:v>
                </c:pt>
                <c:pt idx="52">
                  <c:v>242.386363636363</c:v>
                </c:pt>
                <c:pt idx="53">
                  <c:v>248.80165289256101</c:v>
                </c:pt>
                <c:pt idx="54">
                  <c:v>256.05375305680201</c:v>
                </c:pt>
                <c:pt idx="55">
                  <c:v>261.91119107332997</c:v>
                </c:pt>
                <c:pt idx="56">
                  <c:v>265.25829851134699</c:v>
                </c:pt>
              </c:numCache>
            </c:numRef>
          </c:cat>
          <c:val>
            <c:numRef>
              <c:f>houa!$B$4:$B$60</c:f>
              <c:numCache>
                <c:formatCode>0.00</c:formatCode>
                <c:ptCount val="57"/>
                <c:pt idx="0">
                  <c:v>52.121846816119003</c:v>
                </c:pt>
                <c:pt idx="1">
                  <c:v>51.176468664858497</c:v>
                </c:pt>
                <c:pt idx="2">
                  <c:v>50.105042016806699</c:v>
                </c:pt>
                <c:pt idx="3">
                  <c:v>49.033613445378101</c:v>
                </c:pt>
                <c:pt idx="4">
                  <c:v>48.088235294117602</c:v>
                </c:pt>
                <c:pt idx="5">
                  <c:v>47.142857142857103</c:v>
                </c:pt>
                <c:pt idx="6">
                  <c:v>46.197478991596597</c:v>
                </c:pt>
                <c:pt idx="7">
                  <c:v>45.315124127043397</c:v>
                </c:pt>
                <c:pt idx="8">
                  <c:v>44.117647058823501</c:v>
                </c:pt>
                <c:pt idx="9">
                  <c:v>43.298319327731001</c:v>
                </c:pt>
                <c:pt idx="10">
                  <c:v>42.415966386554601</c:v>
                </c:pt>
                <c:pt idx="11">
                  <c:v>41.344535891749203</c:v>
                </c:pt>
                <c:pt idx="12">
                  <c:v>40.651260504201602</c:v>
                </c:pt>
                <c:pt idx="13">
                  <c:v>39.768907563025202</c:v>
                </c:pt>
                <c:pt idx="14">
                  <c:v>38.823529411764703</c:v>
                </c:pt>
                <c:pt idx="15">
                  <c:v>37.752100840336098</c:v>
                </c:pt>
                <c:pt idx="16">
                  <c:v>36.365546218487303</c:v>
                </c:pt>
                <c:pt idx="17">
                  <c:v>35.231092436974699</c:v>
                </c:pt>
                <c:pt idx="18">
                  <c:v>34.1596638655462</c:v>
                </c:pt>
                <c:pt idx="19">
                  <c:v>32.962181027196003</c:v>
                </c:pt>
                <c:pt idx="20">
                  <c:v>31.6386516154313</c:v>
                </c:pt>
                <c:pt idx="21">
                  <c:v>30.504197833918699</c:v>
                </c:pt>
                <c:pt idx="22">
                  <c:v>29.684873949579799</c:v>
                </c:pt>
                <c:pt idx="23">
                  <c:v>28.991592791901901</c:v>
                </c:pt>
                <c:pt idx="24">
                  <c:v>28.802517161649799</c:v>
                </c:pt>
                <c:pt idx="25">
                  <c:v>28.802517161649799</c:v>
                </c:pt>
                <c:pt idx="26">
                  <c:v>28.802517161649799</c:v>
                </c:pt>
                <c:pt idx="27">
                  <c:v>28.676470588235201</c:v>
                </c:pt>
                <c:pt idx="28">
                  <c:v>28.613441531397701</c:v>
                </c:pt>
                <c:pt idx="29">
                  <c:v>28.424365901145599</c:v>
                </c:pt>
                <c:pt idx="30">
                  <c:v>28.172268907563002</c:v>
                </c:pt>
                <c:pt idx="31">
                  <c:v>27.731092436974699</c:v>
                </c:pt>
                <c:pt idx="32">
                  <c:v>27.226890756302499</c:v>
                </c:pt>
                <c:pt idx="33">
                  <c:v>26.722685228876699</c:v>
                </c:pt>
                <c:pt idx="34">
                  <c:v>26.281512605042</c:v>
                </c:pt>
                <c:pt idx="35">
                  <c:v>25.7773070776162</c:v>
                </c:pt>
                <c:pt idx="36">
                  <c:v>25.210080186859901</c:v>
                </c:pt>
                <c:pt idx="37">
                  <c:v>24.390756302521002</c:v>
                </c:pt>
                <c:pt idx="38">
                  <c:v>23.571428571428498</c:v>
                </c:pt>
                <c:pt idx="39">
                  <c:v>22.752096993582501</c:v>
                </c:pt>
                <c:pt idx="40">
                  <c:v>21.806718842321999</c:v>
                </c:pt>
                <c:pt idx="41">
                  <c:v>20.798319327731001</c:v>
                </c:pt>
                <c:pt idx="42">
                  <c:v>19.726886909548899</c:v>
                </c:pt>
                <c:pt idx="43">
                  <c:v>18.907563025209999</c:v>
                </c:pt>
                <c:pt idx="44">
                  <c:v>17.773109243697402</c:v>
                </c:pt>
                <c:pt idx="45">
                  <c:v>16.827731092436899</c:v>
                </c:pt>
                <c:pt idx="46">
                  <c:v>15.6932773109243</c:v>
                </c:pt>
                <c:pt idx="47">
                  <c:v>14.684873949579799</c:v>
                </c:pt>
                <c:pt idx="48">
                  <c:v>13.2983154809775</c:v>
                </c:pt>
                <c:pt idx="49">
                  <c:v>12.226890756302501</c:v>
                </c:pt>
                <c:pt idx="50">
                  <c:v>10.714285714285699</c:v>
                </c:pt>
                <c:pt idx="51">
                  <c:v>9.5798319327731107</c:v>
                </c:pt>
                <c:pt idx="52">
                  <c:v>7.8781512605042003</c:v>
                </c:pt>
                <c:pt idx="53">
                  <c:v>5.7983193277310896</c:v>
                </c:pt>
                <c:pt idx="54">
                  <c:v>3.8445378151260501</c:v>
                </c:pt>
                <c:pt idx="55">
                  <c:v>2.0798319327731098</c:v>
                </c:pt>
                <c:pt idx="56">
                  <c:v>0.94537815126050595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9B-477F-9376-7BB23EB30851}"/>
            </c:ext>
          </c:extLst>
        </c:ser>
        <c:ser>
          <c:idx val="1"/>
          <c:order val="1"/>
          <c:tx>
            <c:strRef>
              <c:f>houa!$H$3</c:f>
              <c:strCache>
                <c:ptCount val="1"/>
                <c:pt idx="0">
                  <c:v>Linear 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houa!$H$4:$H$60</c:f>
              <c:numCache>
                <c:formatCode>General</c:formatCode>
                <c:ptCount val="57"/>
                <c:pt idx="0">
                  <c:v>52.330651303882156</c:v>
                </c:pt>
                <c:pt idx="1">
                  <c:v>51.449038284773714</c:v>
                </c:pt>
                <c:pt idx="2">
                  <c:v>50.322535749767852</c:v>
                </c:pt>
                <c:pt idx="3">
                  <c:v>49.391941240187364</c:v>
                </c:pt>
                <c:pt idx="4">
                  <c:v>48.363392717894165</c:v>
                </c:pt>
                <c:pt idx="5">
                  <c:v>47.285868683949872</c:v>
                </c:pt>
                <c:pt idx="6">
                  <c:v>46.404255664841429</c:v>
                </c:pt>
                <c:pt idx="7">
                  <c:v>45.571618157384094</c:v>
                </c:pt>
                <c:pt idx="8">
                  <c:v>44.592051125562961</c:v>
                </c:pt>
                <c:pt idx="9">
                  <c:v>43.612481104331366</c:v>
                </c:pt>
                <c:pt idx="10">
                  <c:v>42.534954080976604</c:v>
                </c:pt>
                <c:pt idx="11">
                  <c:v>41.849255066114473</c:v>
                </c:pt>
                <c:pt idx="12">
                  <c:v>41.065599049129204</c:v>
                </c:pt>
                <c:pt idx="13">
                  <c:v>40.232964531082338</c:v>
                </c:pt>
                <c:pt idx="14">
                  <c:v>39.253394509850722</c:v>
                </c:pt>
                <c:pt idx="15">
                  <c:v>38.322802989680696</c:v>
                </c:pt>
                <c:pt idx="16">
                  <c:v>37.245275966325941</c:v>
                </c:pt>
                <c:pt idx="17">
                  <c:v>36.167748942971166</c:v>
                </c:pt>
                <c:pt idx="18">
                  <c:v>35.335114424924313</c:v>
                </c:pt>
                <c:pt idx="19">
                  <c:v>34.502479906877554</c:v>
                </c:pt>
                <c:pt idx="20">
                  <c:v>33.620866887769076</c:v>
                </c:pt>
                <c:pt idx="21">
                  <c:v>32.690275367599142</c:v>
                </c:pt>
                <c:pt idx="22">
                  <c:v>31.955597851675378</c:v>
                </c:pt>
                <c:pt idx="23">
                  <c:v>31.12296333362853</c:v>
                </c:pt>
                <c:pt idx="24">
                  <c:v>30.486242819828028</c:v>
                </c:pt>
                <c:pt idx="25">
                  <c:v>29.751565303904268</c:v>
                </c:pt>
                <c:pt idx="26">
                  <c:v>29.065866289042134</c:v>
                </c:pt>
                <c:pt idx="27">
                  <c:v>28.233231770995289</c:v>
                </c:pt>
                <c:pt idx="28">
                  <c:v>27.498554255071525</c:v>
                </c:pt>
                <c:pt idx="29">
                  <c:v>26.763876739147939</c:v>
                </c:pt>
                <c:pt idx="30">
                  <c:v>26.274091728531978</c:v>
                </c:pt>
                <c:pt idx="31">
                  <c:v>25.588392713669851</c:v>
                </c:pt>
                <c:pt idx="32">
                  <c:v>24.804736696684632</c:v>
                </c:pt>
                <c:pt idx="33">
                  <c:v>24.119037681822501</c:v>
                </c:pt>
                <c:pt idx="34">
                  <c:v>23.384360165898741</c:v>
                </c:pt>
                <c:pt idx="35">
                  <c:v>22.600704148913522</c:v>
                </c:pt>
                <c:pt idx="36">
                  <c:v>21.915005134051388</c:v>
                </c:pt>
                <c:pt idx="37">
                  <c:v>21.278284620250886</c:v>
                </c:pt>
                <c:pt idx="38">
                  <c:v>20.445650102204041</c:v>
                </c:pt>
                <c:pt idx="39">
                  <c:v>19.808929588403544</c:v>
                </c:pt>
                <c:pt idx="40">
                  <c:v>19.07425207247978</c:v>
                </c:pt>
                <c:pt idx="41">
                  <c:v>18.339574556556016</c:v>
                </c:pt>
                <c:pt idx="42">
                  <c:v>17.702848063934688</c:v>
                </c:pt>
                <c:pt idx="43">
                  <c:v>17.017155027893388</c:v>
                </c:pt>
                <c:pt idx="44">
                  <c:v>16.282477511969624</c:v>
                </c:pt>
                <c:pt idx="45">
                  <c:v>15.547799996046038</c:v>
                </c:pt>
                <c:pt idx="46">
                  <c:v>14.960057983306996</c:v>
                </c:pt>
                <c:pt idx="47">
                  <c:v>14.32333149068549</c:v>
                </c:pt>
                <c:pt idx="48">
                  <c:v>13.441718471577182</c:v>
                </c:pt>
                <c:pt idx="49">
                  <c:v>12.853976458838133</c:v>
                </c:pt>
                <c:pt idx="50">
                  <c:v>11.92339091748903</c:v>
                </c:pt>
                <c:pt idx="51">
                  <c:v>11.139734900503811</c:v>
                </c:pt>
                <c:pt idx="52">
                  <c:v>10.111186378210618</c:v>
                </c:pt>
                <c:pt idx="53">
                  <c:v>8.9846808537943375</c:v>
                </c:pt>
                <c:pt idx="54">
                  <c:v>7.7112338473721564</c:v>
                </c:pt>
                <c:pt idx="55">
                  <c:v>6.6826853250791416</c:v>
                </c:pt>
                <c:pt idx="56">
                  <c:v>6.0949433123400922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9B-477F-9376-7BB23EB30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5060880"/>
        <c:axId val="1705061840"/>
      </c:lineChart>
      <c:catAx>
        <c:axId val="1705060880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061840"/>
        <c:crosses val="autoZero"/>
        <c:auto val="1"/>
        <c:lblAlgn val="ctr"/>
        <c:lblOffset val="100"/>
        <c:noMultiLvlLbl val="0"/>
      </c:catAx>
      <c:valAx>
        <c:axId val="170506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06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pfb0412_30krpm!$B$1</c:f>
              <c:strCache>
                <c:ptCount val="1"/>
                <c:pt idx="0">
                  <c:v>P (mmH20)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pfb0412_30krpm!$A$2:$A$21</c:f>
              <c:numCache>
                <c:formatCode>General</c:formatCode>
                <c:ptCount val="20"/>
                <c:pt idx="0">
                  <c:v>1.1901754389999999</c:v>
                </c:pt>
                <c:pt idx="1">
                  <c:v>3.8680701750000002</c:v>
                </c:pt>
                <c:pt idx="2">
                  <c:v>6.4715789470000002</c:v>
                </c:pt>
                <c:pt idx="3">
                  <c:v>9.2982456140000007</c:v>
                </c:pt>
                <c:pt idx="4">
                  <c:v>11.901754390000001</c:v>
                </c:pt>
                <c:pt idx="5">
                  <c:v>13.910179980000001</c:v>
                </c:pt>
                <c:pt idx="6">
                  <c:v>15.17473684</c:v>
                </c:pt>
                <c:pt idx="7">
                  <c:v>16.290526320000001</c:v>
                </c:pt>
                <c:pt idx="8">
                  <c:v>17.778245609999999</c:v>
                </c:pt>
                <c:pt idx="9">
                  <c:v>19.48912735</c:v>
                </c:pt>
                <c:pt idx="10">
                  <c:v>20.97684211</c:v>
                </c:pt>
                <c:pt idx="11">
                  <c:v>22.241403510000001</c:v>
                </c:pt>
                <c:pt idx="12">
                  <c:v>23.654736840000002</c:v>
                </c:pt>
                <c:pt idx="13">
                  <c:v>26.778947370000001</c:v>
                </c:pt>
                <c:pt idx="14">
                  <c:v>27.969127350000001</c:v>
                </c:pt>
                <c:pt idx="15">
                  <c:v>29.68</c:v>
                </c:pt>
                <c:pt idx="16">
                  <c:v>31.837192980000001</c:v>
                </c:pt>
                <c:pt idx="17">
                  <c:v>33.92</c:v>
                </c:pt>
                <c:pt idx="18">
                  <c:v>34.961403509999997</c:v>
                </c:pt>
                <c:pt idx="19">
                  <c:v>35.928421049999997</c:v>
                </c:pt>
              </c:numCache>
            </c:numRef>
          </c:xVal>
          <c:yVal>
            <c:numRef>
              <c:f>pfb0412_30krpm!$B$2:$B$21</c:f>
              <c:numCache>
                <c:formatCode>General</c:formatCode>
                <c:ptCount val="20"/>
                <c:pt idx="0">
                  <c:v>182.61418620000001</c:v>
                </c:pt>
                <c:pt idx="1">
                  <c:v>167.1039858</c:v>
                </c:pt>
                <c:pt idx="2">
                  <c:v>152.33235809999999</c:v>
                </c:pt>
                <c:pt idx="3">
                  <c:v>136.26821910000001</c:v>
                </c:pt>
                <c:pt idx="4">
                  <c:v>121.12731220000001</c:v>
                </c:pt>
                <c:pt idx="5">
                  <c:v>111.34111249999999</c:v>
                </c:pt>
                <c:pt idx="6">
                  <c:v>106.17103349999999</c:v>
                </c:pt>
                <c:pt idx="7">
                  <c:v>102.1088488</c:v>
                </c:pt>
                <c:pt idx="8">
                  <c:v>100.4470413</c:v>
                </c:pt>
                <c:pt idx="9">
                  <c:v>99.893105439999999</c:v>
                </c:pt>
                <c:pt idx="10">
                  <c:v>98.969867789999995</c:v>
                </c:pt>
                <c:pt idx="11">
                  <c:v>96.569490479999999</c:v>
                </c:pt>
                <c:pt idx="12">
                  <c:v>92.691939689999998</c:v>
                </c:pt>
                <c:pt idx="13">
                  <c:v>75.889219600000004</c:v>
                </c:pt>
                <c:pt idx="14">
                  <c:v>70.165204779999996</c:v>
                </c:pt>
                <c:pt idx="15">
                  <c:v>60.009725879999998</c:v>
                </c:pt>
                <c:pt idx="16">
                  <c:v>44.684156729999998</c:v>
                </c:pt>
                <c:pt idx="17">
                  <c:v>30.097191209999998</c:v>
                </c:pt>
                <c:pt idx="18">
                  <c:v>21.788153810000001</c:v>
                </c:pt>
                <c:pt idx="19">
                  <c:v>15.140923880000001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D2-4FFC-9DEC-65F14E484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72832"/>
        <c:axId val="129382912"/>
      </c:scatterChart>
      <c:valAx>
        <c:axId val="12937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82912"/>
        <c:crosses val="autoZero"/>
        <c:crossBetween val="midCat"/>
      </c:valAx>
      <c:valAx>
        <c:axId val="12938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72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'pdf1224'!$B$3</c:f>
              <c:strCache>
                <c:ptCount val="1"/>
                <c:pt idx="0">
                  <c:v>P(mmH2O)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22846427701691924"/>
                  <c:y val="-0.133504558640696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'pdf1224'!$A$4:$A$60</c:f>
              <c:numCache>
                <c:formatCode>0.00</c:formatCode>
                <c:ptCount val="57"/>
                <c:pt idx="0">
                  <c:v>1.95249636311174</c:v>
                </c:pt>
                <c:pt idx="1">
                  <c:v>6.9731575201365503</c:v>
                </c:pt>
                <c:pt idx="2">
                  <c:v>13.388429752065999</c:v>
                </c:pt>
                <c:pt idx="3">
                  <c:v>18.688033553194298</c:v>
                </c:pt>
                <c:pt idx="4">
                  <c:v>24.545471569723301</c:v>
                </c:pt>
                <c:pt idx="5">
                  <c:v>30.681818181818102</c:v>
                </c:pt>
                <c:pt idx="6">
                  <c:v>35.702479338842899</c:v>
                </c:pt>
                <c:pt idx="7">
                  <c:v>40.444231900301801</c:v>
                </c:pt>
                <c:pt idx="8">
                  <c:v>46.022727272727202</c:v>
                </c:pt>
                <c:pt idx="9">
                  <c:v>51.601239669421403</c:v>
                </c:pt>
                <c:pt idx="10">
                  <c:v>57.737603305785001</c:v>
                </c:pt>
                <c:pt idx="11">
                  <c:v>61.642561983470998</c:v>
                </c:pt>
                <c:pt idx="12">
                  <c:v>66.105371900826299</c:v>
                </c:pt>
                <c:pt idx="13">
                  <c:v>70.847107438016394</c:v>
                </c:pt>
                <c:pt idx="14">
                  <c:v>76.425619834710702</c:v>
                </c:pt>
                <c:pt idx="15">
                  <c:v>81.725206611570201</c:v>
                </c:pt>
                <c:pt idx="16">
                  <c:v>87.861570247933798</c:v>
                </c:pt>
                <c:pt idx="17">
                  <c:v>93.997933884297495</c:v>
                </c:pt>
                <c:pt idx="18">
                  <c:v>98.739669421487505</c:v>
                </c:pt>
                <c:pt idx="19">
                  <c:v>103.481404958677</c:v>
                </c:pt>
                <c:pt idx="20">
                  <c:v>108.50206611570199</c:v>
                </c:pt>
                <c:pt idx="21">
                  <c:v>113.80165289256099</c:v>
                </c:pt>
                <c:pt idx="22">
                  <c:v>117.985537190082</c:v>
                </c:pt>
                <c:pt idx="23">
                  <c:v>122.72727272727199</c:v>
                </c:pt>
                <c:pt idx="24">
                  <c:v>126.353305785123</c:v>
                </c:pt>
                <c:pt idx="25">
                  <c:v>130.537190082644</c:v>
                </c:pt>
                <c:pt idx="26">
                  <c:v>134.44214876033001</c:v>
                </c:pt>
                <c:pt idx="27">
                  <c:v>139.18388429752</c:v>
                </c:pt>
                <c:pt idx="28">
                  <c:v>143.36776859504101</c:v>
                </c:pt>
                <c:pt idx="29">
                  <c:v>147.55165289256101</c:v>
                </c:pt>
                <c:pt idx="30">
                  <c:v>150.34090909090901</c:v>
                </c:pt>
                <c:pt idx="31">
                  <c:v>154.24586776859499</c:v>
                </c:pt>
                <c:pt idx="32">
                  <c:v>158.70867768594999</c:v>
                </c:pt>
                <c:pt idx="33">
                  <c:v>162.613636363636</c:v>
                </c:pt>
                <c:pt idx="34">
                  <c:v>166.79752066115699</c:v>
                </c:pt>
                <c:pt idx="35">
                  <c:v>171.260330578512</c:v>
                </c:pt>
                <c:pt idx="36">
                  <c:v>175.16528925619801</c:v>
                </c:pt>
                <c:pt idx="37">
                  <c:v>178.79132231404901</c:v>
                </c:pt>
                <c:pt idx="38">
                  <c:v>183.53305785123899</c:v>
                </c:pt>
                <c:pt idx="39">
                  <c:v>187.15909090909</c:v>
                </c:pt>
                <c:pt idx="40">
                  <c:v>191.34297520661099</c:v>
                </c:pt>
                <c:pt idx="41">
                  <c:v>195.52685950413201</c:v>
                </c:pt>
                <c:pt idx="42">
                  <c:v>199.15292661052001</c:v>
                </c:pt>
                <c:pt idx="43">
                  <c:v>203.05785123966899</c:v>
                </c:pt>
                <c:pt idx="44">
                  <c:v>207.24173553719001</c:v>
                </c:pt>
                <c:pt idx="45">
                  <c:v>211.42561983471001</c:v>
                </c:pt>
                <c:pt idx="46">
                  <c:v>214.772727272727</c:v>
                </c:pt>
                <c:pt idx="47">
                  <c:v>218.398794379116</c:v>
                </c:pt>
                <c:pt idx="48">
                  <c:v>223.41945553613999</c:v>
                </c:pt>
                <c:pt idx="49">
                  <c:v>226.76656297415701</c:v>
                </c:pt>
                <c:pt idx="50">
                  <c:v>232.06611570247901</c:v>
                </c:pt>
                <c:pt idx="51">
                  <c:v>236.52892561983401</c:v>
                </c:pt>
                <c:pt idx="52">
                  <c:v>242.386363636363</c:v>
                </c:pt>
                <c:pt idx="53">
                  <c:v>248.80165289256101</c:v>
                </c:pt>
                <c:pt idx="54">
                  <c:v>256.05375305680201</c:v>
                </c:pt>
                <c:pt idx="55">
                  <c:v>261.91119107332997</c:v>
                </c:pt>
                <c:pt idx="56">
                  <c:v>265.25829851134699</c:v>
                </c:pt>
              </c:numCache>
            </c:numRef>
          </c:cat>
          <c:val>
            <c:numRef>
              <c:f>'pdf1224'!$B$4:$B$60</c:f>
              <c:numCache>
                <c:formatCode>0.00</c:formatCode>
                <c:ptCount val="57"/>
                <c:pt idx="0">
                  <c:v>52.121846816119003</c:v>
                </c:pt>
                <c:pt idx="1">
                  <c:v>51.176468664858497</c:v>
                </c:pt>
                <c:pt idx="2">
                  <c:v>50.105042016806699</c:v>
                </c:pt>
                <c:pt idx="3">
                  <c:v>49.033613445378101</c:v>
                </c:pt>
                <c:pt idx="4">
                  <c:v>48.088235294117602</c:v>
                </c:pt>
                <c:pt idx="5">
                  <c:v>47.142857142857103</c:v>
                </c:pt>
                <c:pt idx="6">
                  <c:v>46.197478991596597</c:v>
                </c:pt>
                <c:pt idx="7">
                  <c:v>45.315124127043397</c:v>
                </c:pt>
                <c:pt idx="8">
                  <c:v>44.117647058823501</c:v>
                </c:pt>
                <c:pt idx="9">
                  <c:v>43.298319327731001</c:v>
                </c:pt>
                <c:pt idx="10">
                  <c:v>42.415966386554601</c:v>
                </c:pt>
                <c:pt idx="11">
                  <c:v>41.344535891749203</c:v>
                </c:pt>
                <c:pt idx="12">
                  <c:v>40.651260504201602</c:v>
                </c:pt>
                <c:pt idx="13">
                  <c:v>39.768907563025202</c:v>
                </c:pt>
                <c:pt idx="14">
                  <c:v>38.823529411764703</c:v>
                </c:pt>
                <c:pt idx="15">
                  <c:v>37.752100840336098</c:v>
                </c:pt>
                <c:pt idx="16">
                  <c:v>36.365546218487303</c:v>
                </c:pt>
                <c:pt idx="17">
                  <c:v>35.231092436974699</c:v>
                </c:pt>
                <c:pt idx="18">
                  <c:v>34.1596638655462</c:v>
                </c:pt>
                <c:pt idx="19">
                  <c:v>32.962181027196003</c:v>
                </c:pt>
                <c:pt idx="20">
                  <c:v>31.6386516154313</c:v>
                </c:pt>
                <c:pt idx="21">
                  <c:v>30.504197833918699</c:v>
                </c:pt>
                <c:pt idx="22">
                  <c:v>29.684873949579799</c:v>
                </c:pt>
                <c:pt idx="23">
                  <c:v>28.991592791901901</c:v>
                </c:pt>
                <c:pt idx="24">
                  <c:v>28.802517161649799</c:v>
                </c:pt>
                <c:pt idx="25">
                  <c:v>28.802517161649799</c:v>
                </c:pt>
                <c:pt idx="26">
                  <c:v>28.802517161649799</c:v>
                </c:pt>
                <c:pt idx="27">
                  <c:v>28.676470588235201</c:v>
                </c:pt>
                <c:pt idx="28">
                  <c:v>28.613441531397701</c:v>
                </c:pt>
                <c:pt idx="29">
                  <c:v>28.424365901145599</c:v>
                </c:pt>
                <c:pt idx="30">
                  <c:v>28.172268907563002</c:v>
                </c:pt>
                <c:pt idx="31">
                  <c:v>27.731092436974699</c:v>
                </c:pt>
                <c:pt idx="32">
                  <c:v>27.226890756302499</c:v>
                </c:pt>
                <c:pt idx="33">
                  <c:v>26.722685228876699</c:v>
                </c:pt>
                <c:pt idx="34">
                  <c:v>26.281512605042</c:v>
                </c:pt>
                <c:pt idx="35">
                  <c:v>25.7773070776162</c:v>
                </c:pt>
                <c:pt idx="36">
                  <c:v>25.210080186859901</c:v>
                </c:pt>
                <c:pt idx="37">
                  <c:v>24.390756302521002</c:v>
                </c:pt>
                <c:pt idx="38">
                  <c:v>23.571428571428498</c:v>
                </c:pt>
                <c:pt idx="39">
                  <c:v>22.752096993582501</c:v>
                </c:pt>
                <c:pt idx="40">
                  <c:v>21.806718842321999</c:v>
                </c:pt>
                <c:pt idx="41">
                  <c:v>20.798319327731001</c:v>
                </c:pt>
                <c:pt idx="42">
                  <c:v>19.726886909548899</c:v>
                </c:pt>
                <c:pt idx="43">
                  <c:v>18.907563025209999</c:v>
                </c:pt>
                <c:pt idx="44">
                  <c:v>17.773109243697402</c:v>
                </c:pt>
                <c:pt idx="45">
                  <c:v>16.827731092436899</c:v>
                </c:pt>
                <c:pt idx="46">
                  <c:v>15.6932773109243</c:v>
                </c:pt>
                <c:pt idx="47">
                  <c:v>14.684873949579799</c:v>
                </c:pt>
                <c:pt idx="48">
                  <c:v>13.2983154809775</c:v>
                </c:pt>
                <c:pt idx="49">
                  <c:v>12.226890756302501</c:v>
                </c:pt>
                <c:pt idx="50">
                  <c:v>10.714285714285699</c:v>
                </c:pt>
                <c:pt idx="51">
                  <c:v>9.5798319327731107</c:v>
                </c:pt>
                <c:pt idx="52">
                  <c:v>7.8781512605042003</c:v>
                </c:pt>
                <c:pt idx="53">
                  <c:v>5.7983193277310896</c:v>
                </c:pt>
                <c:pt idx="54">
                  <c:v>3.8445378151260501</c:v>
                </c:pt>
                <c:pt idx="55">
                  <c:v>2.0798319327731098</c:v>
                </c:pt>
                <c:pt idx="56">
                  <c:v>0.94537815126050595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FD-4049-9D03-99F82579B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5060880"/>
        <c:axId val="1705061840"/>
      </c:lineChart>
      <c:catAx>
        <c:axId val="1705060880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061840"/>
        <c:crosses val="autoZero"/>
        <c:auto val="1"/>
        <c:lblAlgn val="ctr"/>
        <c:lblOffset val="100"/>
        <c:noMultiLvlLbl val="0"/>
      </c:catAx>
      <c:valAx>
        <c:axId val="170506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06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'pdf1224'!$B$3</c:f>
              <c:strCache>
                <c:ptCount val="1"/>
                <c:pt idx="0">
                  <c:v>P(mmH2O)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'pdf1224'!$A$4:$A$60</c:f>
              <c:numCache>
                <c:formatCode>0.00</c:formatCode>
                <c:ptCount val="57"/>
                <c:pt idx="0">
                  <c:v>1.95249636311174</c:v>
                </c:pt>
                <c:pt idx="1">
                  <c:v>6.9731575201365503</c:v>
                </c:pt>
                <c:pt idx="2">
                  <c:v>13.388429752065999</c:v>
                </c:pt>
                <c:pt idx="3">
                  <c:v>18.688033553194298</c:v>
                </c:pt>
                <c:pt idx="4">
                  <c:v>24.545471569723301</c:v>
                </c:pt>
                <c:pt idx="5">
                  <c:v>30.681818181818102</c:v>
                </c:pt>
                <c:pt idx="6">
                  <c:v>35.702479338842899</c:v>
                </c:pt>
                <c:pt idx="7">
                  <c:v>40.444231900301801</c:v>
                </c:pt>
                <c:pt idx="8">
                  <c:v>46.022727272727202</c:v>
                </c:pt>
                <c:pt idx="9">
                  <c:v>51.601239669421403</c:v>
                </c:pt>
                <c:pt idx="10">
                  <c:v>57.737603305785001</c:v>
                </c:pt>
                <c:pt idx="11">
                  <c:v>61.642561983470998</c:v>
                </c:pt>
                <c:pt idx="12">
                  <c:v>66.105371900826299</c:v>
                </c:pt>
                <c:pt idx="13">
                  <c:v>70.847107438016394</c:v>
                </c:pt>
                <c:pt idx="14">
                  <c:v>76.425619834710702</c:v>
                </c:pt>
                <c:pt idx="15">
                  <c:v>81.725206611570201</c:v>
                </c:pt>
                <c:pt idx="16">
                  <c:v>87.861570247933798</c:v>
                </c:pt>
                <c:pt idx="17">
                  <c:v>93.997933884297495</c:v>
                </c:pt>
                <c:pt idx="18">
                  <c:v>98.739669421487505</c:v>
                </c:pt>
                <c:pt idx="19">
                  <c:v>103.481404958677</c:v>
                </c:pt>
                <c:pt idx="20">
                  <c:v>108.50206611570199</c:v>
                </c:pt>
                <c:pt idx="21">
                  <c:v>113.80165289256099</c:v>
                </c:pt>
                <c:pt idx="22">
                  <c:v>117.985537190082</c:v>
                </c:pt>
                <c:pt idx="23">
                  <c:v>122.72727272727199</c:v>
                </c:pt>
                <c:pt idx="24">
                  <c:v>126.353305785123</c:v>
                </c:pt>
                <c:pt idx="25">
                  <c:v>130.537190082644</c:v>
                </c:pt>
                <c:pt idx="26">
                  <c:v>134.44214876033001</c:v>
                </c:pt>
                <c:pt idx="27">
                  <c:v>139.18388429752</c:v>
                </c:pt>
                <c:pt idx="28">
                  <c:v>143.36776859504101</c:v>
                </c:pt>
                <c:pt idx="29">
                  <c:v>147.55165289256101</c:v>
                </c:pt>
                <c:pt idx="30">
                  <c:v>150.34090909090901</c:v>
                </c:pt>
                <c:pt idx="31">
                  <c:v>154.24586776859499</c:v>
                </c:pt>
                <c:pt idx="32">
                  <c:v>158.70867768594999</c:v>
                </c:pt>
                <c:pt idx="33">
                  <c:v>162.613636363636</c:v>
                </c:pt>
                <c:pt idx="34">
                  <c:v>166.79752066115699</c:v>
                </c:pt>
                <c:pt idx="35">
                  <c:v>171.260330578512</c:v>
                </c:pt>
                <c:pt idx="36">
                  <c:v>175.16528925619801</c:v>
                </c:pt>
                <c:pt idx="37">
                  <c:v>178.79132231404901</c:v>
                </c:pt>
                <c:pt idx="38">
                  <c:v>183.53305785123899</c:v>
                </c:pt>
                <c:pt idx="39">
                  <c:v>187.15909090909</c:v>
                </c:pt>
                <c:pt idx="40">
                  <c:v>191.34297520661099</c:v>
                </c:pt>
                <c:pt idx="41">
                  <c:v>195.52685950413201</c:v>
                </c:pt>
                <c:pt idx="42">
                  <c:v>199.15292661052001</c:v>
                </c:pt>
                <c:pt idx="43">
                  <c:v>203.05785123966899</c:v>
                </c:pt>
                <c:pt idx="44">
                  <c:v>207.24173553719001</c:v>
                </c:pt>
                <c:pt idx="45">
                  <c:v>211.42561983471001</c:v>
                </c:pt>
                <c:pt idx="46">
                  <c:v>214.772727272727</c:v>
                </c:pt>
                <c:pt idx="47">
                  <c:v>218.398794379116</c:v>
                </c:pt>
                <c:pt idx="48">
                  <c:v>223.41945553613999</c:v>
                </c:pt>
                <c:pt idx="49">
                  <c:v>226.76656297415701</c:v>
                </c:pt>
                <c:pt idx="50">
                  <c:v>232.06611570247901</c:v>
                </c:pt>
                <c:pt idx="51">
                  <c:v>236.52892561983401</c:v>
                </c:pt>
                <c:pt idx="52">
                  <c:v>242.386363636363</c:v>
                </c:pt>
                <c:pt idx="53">
                  <c:v>248.80165289256101</c:v>
                </c:pt>
                <c:pt idx="54">
                  <c:v>256.05375305680201</c:v>
                </c:pt>
                <c:pt idx="55">
                  <c:v>261.91119107332997</c:v>
                </c:pt>
                <c:pt idx="56">
                  <c:v>265.25829851134699</c:v>
                </c:pt>
              </c:numCache>
            </c:numRef>
          </c:cat>
          <c:val>
            <c:numRef>
              <c:f>'pdf1224'!$F$4:$F$60</c:f>
              <c:numCache>
                <c:formatCode>General</c:formatCode>
                <c:ptCount val="57"/>
                <c:pt idx="0">
                  <c:v>52.579646908049448</c:v>
                </c:pt>
                <c:pt idx="1">
                  <c:v>45.449873472877897</c:v>
                </c:pt>
                <c:pt idx="2">
                  <c:v>38.837180484894489</c:v>
                </c:pt>
                <c:pt idx="3">
                  <c:v>34.968512660850323</c:v>
                </c:pt>
                <c:pt idx="4">
                  <c:v>31.79635704719189</c:v>
                </c:pt>
                <c:pt idx="5">
                  <c:v>29.079775403831732</c:v>
                </c:pt>
                <c:pt idx="6">
                  <c:v>26.842273874283777</c:v>
                </c:pt>
                <c:pt idx="7">
                  <c:v>24.348824279152495</c:v>
                </c:pt>
                <c:pt idx="8">
                  <c:v>20.50086724619652</c:v>
                </c:pt>
                <c:pt idx="9">
                  <c:v>15.16947589266357</c:v>
                </c:pt>
                <c:pt idx="10">
                  <c:v>6.9700076715140113</c:v>
                </c:pt>
                <c:pt idx="11">
                  <c:v>0.17232758982152063</c:v>
                </c:pt>
                <c:pt idx="12">
                  <c:v>-9.3718754184997408</c:v>
                </c:pt>
                <c:pt idx="13">
                  <c:v>-21.873705550253064</c:v>
                </c:pt>
                <c:pt idx="14">
                  <c:v>-40.12176587494713</c:v>
                </c:pt>
                <c:pt idx="15">
                  <c:v>-61.45246916446041</c:v>
                </c:pt>
                <c:pt idx="16">
                  <c:v>-91.611239896926122</c:v>
                </c:pt>
                <c:pt idx="17">
                  <c:v>-128.29127375605719</c:v>
                </c:pt>
                <c:pt idx="18">
                  <c:v>-161.54027467170835</c:v>
                </c:pt>
                <c:pt idx="19">
                  <c:v>-199.41692167541311</c:v>
                </c:pt>
                <c:pt idx="20">
                  <c:v>-244.92103133857805</c:v>
                </c:pt>
                <c:pt idx="21">
                  <c:v>-299.39011221063288</c:v>
                </c:pt>
                <c:pt idx="22">
                  <c:v>-347.34953934432338</c:v>
                </c:pt>
                <c:pt idx="23">
                  <c:v>-407.29260555971979</c:v>
                </c:pt>
                <c:pt idx="24">
                  <c:v>-457.32869564281805</c:v>
                </c:pt>
                <c:pt idx="25">
                  <c:v>-519.78785535919076</c:v>
                </c:pt>
                <c:pt idx="26">
                  <c:v>-582.83579026500979</c:v>
                </c:pt>
                <c:pt idx="27">
                  <c:v>-665.82619591716275</c:v>
                </c:pt>
                <c:pt idx="28">
                  <c:v>-745.15114481673334</c:v>
                </c:pt>
                <c:pt idx="29">
                  <c:v>-830.42256197444999</c:v>
                </c:pt>
                <c:pt idx="30">
                  <c:v>-890.68226826046998</c:v>
                </c:pt>
                <c:pt idx="31">
                  <c:v>-979.77389273216704</c:v>
                </c:pt>
                <c:pt idx="32">
                  <c:v>-1088.555551433509</c:v>
                </c:pt>
                <c:pt idx="33">
                  <c:v>-1190.0323402223328</c:v>
                </c:pt>
                <c:pt idx="34">
                  <c:v>-1305.4874441196555</c:v>
                </c:pt>
                <c:pt idx="35">
                  <c:v>-1436.5554464026591</c:v>
                </c:pt>
                <c:pt idx="36">
                  <c:v>-1558.1479885976159</c:v>
                </c:pt>
                <c:pt idx="37">
                  <c:v>-1676.9922582052752</c:v>
                </c:pt>
                <c:pt idx="38">
                  <c:v>-1841.2737504918798</c:v>
                </c:pt>
                <c:pt idx="39">
                  <c:v>-1973.8654847095361</c:v>
                </c:pt>
                <c:pt idx="40">
                  <c:v>-2134.5614725407545</c:v>
                </c:pt>
                <c:pt idx="41">
                  <c:v>-2303.7233304590595</c:v>
                </c:pt>
                <c:pt idx="42">
                  <c:v>-2457.349522199203</c:v>
                </c:pt>
                <c:pt idx="43">
                  <c:v>-2630.2499984917067</c:v>
                </c:pt>
                <c:pt idx="44">
                  <c:v>-2824.285177920985</c:v>
                </c:pt>
                <c:pt idx="45">
                  <c:v>-3027.6211454852519</c:v>
                </c:pt>
                <c:pt idx="46">
                  <c:v>-3197.1341356592648</c:v>
                </c:pt>
                <c:pt idx="47">
                  <c:v>-3387.7814251833074</c:v>
                </c:pt>
                <c:pt idx="48">
                  <c:v>-3664.0419408229945</c:v>
                </c:pt>
                <c:pt idx="49">
                  <c:v>-3856.3124661449669</c:v>
                </c:pt>
                <c:pt idx="50">
                  <c:v>-4174.2991898856226</c:v>
                </c:pt>
                <c:pt idx="51">
                  <c:v>-4455.2575571504012</c:v>
                </c:pt>
                <c:pt idx="52">
                  <c:v>-4842.7725531143915</c:v>
                </c:pt>
                <c:pt idx="53">
                  <c:v>-5292.2827069786899</c:v>
                </c:pt>
                <c:pt idx="54">
                  <c:v>-5832.9791896057022</c:v>
                </c:pt>
                <c:pt idx="55">
                  <c:v>-6295.6620520969209</c:v>
                </c:pt>
                <c:pt idx="56">
                  <c:v>-6570.7247171963663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0B-4886-BD23-2ECE29D20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214848"/>
        <c:axId val="271215808"/>
      </c:lineChart>
      <c:catAx>
        <c:axId val="27121484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215808"/>
        <c:crosses val="autoZero"/>
        <c:auto val="1"/>
        <c:lblAlgn val="ctr"/>
        <c:lblOffset val="100"/>
        <c:noMultiLvlLbl val="0"/>
      </c:catAx>
      <c:valAx>
        <c:axId val="27121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21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136524</xdr:colOff>
      <xdr:row>10</xdr:row>
      <xdr:rowOff>177800</xdr:rowOff>
    </xdr:from>
    <xdr:to>
      <xdr:col>11</xdr:col>
      <xdr:colOff>57150</xdr:colOff>
      <xdr:row>31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9686A2-72B6-E54B-927C-1CBD71114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723900</xdr:colOff>
      <xdr:row>25</xdr:row>
      <xdr:rowOff>139700</xdr:rowOff>
    </xdr:from>
    <xdr:to>
      <xdr:col>5</xdr:col>
      <xdr:colOff>298450</xdr:colOff>
      <xdr:row>41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D4610B-4434-45E1-956B-1CFC5B786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41275</xdr:colOff>
      <xdr:row>25</xdr:row>
      <xdr:rowOff>76200</xdr:rowOff>
    </xdr:from>
    <xdr:to>
      <xdr:col>15</xdr:col>
      <xdr:colOff>241300</xdr:colOff>
      <xdr:row>47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906D25-9C50-7F3E-7EE9-31CAD7679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428624</xdr:colOff>
      <xdr:row>42</xdr:row>
      <xdr:rowOff>136524</xdr:rowOff>
    </xdr:from>
    <xdr:to>
      <xdr:col>31</xdr:col>
      <xdr:colOff>228599</xdr:colOff>
      <xdr:row>68</xdr:row>
      <xdr:rowOff>139699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A214C7-65A5-6463-6FA5-8A0808F03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831850</xdr:colOff>
      <xdr:row>25</xdr:row>
      <xdr:rowOff>101600</xdr:rowOff>
    </xdr:from>
    <xdr:to>
      <xdr:col>4</xdr:col>
      <xdr:colOff>406400</xdr:colOff>
      <xdr:row>40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79EED0-16D5-494B-B629-664D08C86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403224</xdr:colOff>
      <xdr:row>25</xdr:row>
      <xdr:rowOff>114300</xdr:rowOff>
    </xdr:from>
    <xdr:to>
      <xdr:col>14</xdr:col>
      <xdr:colOff>323850</xdr:colOff>
      <xdr:row>46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0BBE58-E449-E4F6-EA75-19B4ABC82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177800</xdr:colOff>
      <xdr:row>9</xdr:row>
      <xdr:rowOff>63500</xdr:rowOff>
    </xdr:from>
    <xdr:to>
      <xdr:col>16</xdr:col>
      <xdr:colOff>222250</xdr:colOff>
      <xdr:row>35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DA4E60-E2BE-457A-9FD9-46F388D778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433294</xdr:colOff>
      <xdr:row>7</xdr:row>
      <xdr:rowOff>103840</xdr:rowOff>
    </xdr:from>
    <xdr:to>
      <xdr:col>13</xdr:col>
      <xdr:colOff>49696</xdr:colOff>
      <xdr:row>30</xdr:row>
      <xdr:rowOff>22086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9363E7-8425-DB65-43D0-F400C12AD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222250</xdr:colOff>
      <xdr:row>4</xdr:row>
      <xdr:rowOff>107950</xdr:rowOff>
    </xdr:from>
    <xdr:to>
      <xdr:col>16</xdr:col>
      <xdr:colOff>266700</xdr:colOff>
      <xdr:row>30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01B9E-8792-9562-F984-20B4A7B00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254000</xdr:colOff>
      <xdr:row>31</xdr:row>
      <xdr:rowOff>50800</xdr:rowOff>
    </xdr:from>
    <xdr:to>
      <xdr:col>16</xdr:col>
      <xdr:colOff>342900</xdr:colOff>
      <xdr:row>46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8A6593-B687-CA2D-BAC2-D8191D1E8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xt" connectionId="1" xr16:uid="{8D4EF8FB-BAC5-A840-A272-6D92A48B2F3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5FC1-7646-0144-8CBF-BB0C9C77E8AA}">
  <dimension ref="A1:S61"/>
  <sheetViews>
    <sheetView tabSelected="1" workbookViewId="0">
      <selection activeCell="O4" sqref="O4:O60"/>
    </sheetView>
  </sheetViews>
  <sheetFormatPr baseColWidth="10" defaultColWidth="8.83203125" defaultRowHeight="15" x14ac:dyDescent="0.2"/>
  <cols>
    <col min="1" max="1" width="19.1640625" customWidth="1"/>
    <col min="2" max="2" width="21.33203125" customWidth="1"/>
    <col min="18" max="19" width="11.1640625" bestFit="1" customWidth="1"/>
    <col min="21" max="21" width="14.33203125" customWidth="1"/>
  </cols>
  <sheetData>
    <row r="1" spans="1:19" x14ac:dyDescent="0.2">
      <c r="A1" t="s">
        <v>56</v>
      </c>
      <c r="L1">
        <v>10.8</v>
      </c>
      <c r="M1">
        <v>1.45</v>
      </c>
    </row>
    <row r="2" spans="1:19" x14ac:dyDescent="0.2">
      <c r="L2">
        <v>13.2</v>
      </c>
      <c r="M2">
        <v>1.75</v>
      </c>
    </row>
    <row r="3" spans="1:19" x14ac:dyDescent="0.2">
      <c r="A3" t="s">
        <v>4</v>
      </c>
      <c r="B3" t="s">
        <v>2</v>
      </c>
      <c r="I3" s="4"/>
      <c r="J3" s="4"/>
      <c r="L3" t="s">
        <v>16</v>
      </c>
      <c r="M3" t="s">
        <v>17</v>
      </c>
      <c r="N3" t="s">
        <v>28</v>
      </c>
      <c r="O3" t="s">
        <v>29</v>
      </c>
      <c r="P3" t="s">
        <v>14</v>
      </c>
    </row>
    <row r="4" spans="1:19" x14ac:dyDescent="0.2">
      <c r="A4">
        <v>0.53353761082782702</v>
      </c>
      <c r="B4">
        <v>108.94511239391301</v>
      </c>
      <c r="I4" s="4"/>
      <c r="J4" s="4"/>
      <c r="L4">
        <f>10.8+2.4*A4/32.9</f>
        <v>10.838920676777715</v>
      </c>
      <c r="M4">
        <f>1.45+0.3*A4/32.9</f>
        <v>1.4548650845972142</v>
      </c>
      <c r="N4">
        <f>(B4*9.80665)*(A4/2119)</f>
        <v>0.26900633637525934</v>
      </c>
      <c r="O4">
        <f>L4*M4</f>
        <v>15.769167247362704</v>
      </c>
      <c r="P4">
        <f>(N4)/(O4)</f>
        <v>1.7059007121650573E-2</v>
      </c>
      <c r="R4" s="5"/>
      <c r="S4" s="5"/>
    </row>
    <row r="5" spans="1:19" x14ac:dyDescent="0.2">
      <c r="A5">
        <v>0.95800651176557206</v>
      </c>
      <c r="B5">
        <v>107.35371349109199</v>
      </c>
      <c r="C5" s="27"/>
      <c r="D5" s="27"/>
      <c r="E5" s="27"/>
      <c r="F5" s="27"/>
      <c r="G5" s="27"/>
      <c r="H5" s="27"/>
      <c r="I5" s="27"/>
      <c r="J5" s="27"/>
      <c r="K5" s="27"/>
      <c r="L5">
        <f t="shared" ref="L5:L23" si="0">10.8+2.4*A5/21.834</f>
        <v>10.90530437062551</v>
      </c>
      <c r="M5">
        <f t="shared" ref="M5:M60" si="1">1.45+0.3*A5/32.9</f>
        <v>1.458735621687832</v>
      </c>
      <c r="N5" s="27">
        <f t="shared" ref="N5:N24" si="2">(B5*9.80665)*(A5/2119)</f>
        <v>0.47596525601735806</v>
      </c>
      <c r="O5" s="27">
        <f t="shared" ref="O5:O24" si="3">L5*M5</f>
        <v>15.907955950779435</v>
      </c>
      <c r="P5" s="27">
        <f t="shared" ref="P5:P24" si="4">(N5)/(O5)</f>
        <v>2.9919950588877347E-2</v>
      </c>
    </row>
    <row r="6" spans="1:19" x14ac:dyDescent="0.2">
      <c r="A6">
        <v>2.30215803140177</v>
      </c>
      <c r="B6">
        <v>101.516892103232</v>
      </c>
      <c r="L6">
        <f t="shared" si="0"/>
        <v>11.053053919362657</v>
      </c>
      <c r="M6">
        <f t="shared" si="1"/>
        <v>1.4709923224747881</v>
      </c>
      <c r="N6">
        <f t="shared" si="2"/>
        <v>1.0815912490857598</v>
      </c>
      <c r="O6">
        <f t="shared" si="3"/>
        <v>16.258957455282335</v>
      </c>
      <c r="P6">
        <f t="shared" si="4"/>
        <v>6.6522792255315488E-2</v>
      </c>
    </row>
    <row r="7" spans="1:19" x14ac:dyDescent="0.2">
      <c r="A7">
        <v>2.7502085379471701</v>
      </c>
      <c r="B7">
        <v>99.722443898616106</v>
      </c>
      <c r="L7">
        <f t="shared" si="0"/>
        <v>11.102303768941706</v>
      </c>
      <c r="M7">
        <f t="shared" si="1"/>
        <v>1.4750778894037735</v>
      </c>
      <c r="N7">
        <f t="shared" si="2"/>
        <v>1.2692531739065374</v>
      </c>
      <c r="O7">
        <f t="shared" si="3"/>
        <v>16.376762811010092</v>
      </c>
      <c r="P7">
        <f t="shared" si="4"/>
        <v>7.7503300777685982E-2</v>
      </c>
    </row>
    <row r="8" spans="1:19" x14ac:dyDescent="0.2">
      <c r="A8">
        <v>3.12751422766961</v>
      </c>
      <c r="B8">
        <v>98.177577127456203</v>
      </c>
      <c r="L8">
        <f t="shared" si="0"/>
        <v>11.143777326481958</v>
      </c>
      <c r="M8">
        <f t="shared" si="1"/>
        <v>1.478518366817656</v>
      </c>
      <c r="N8">
        <f t="shared" si="2"/>
        <v>1.4210237062045874</v>
      </c>
      <c r="O8">
        <f t="shared" si="3"/>
        <v>16.476279452929731</v>
      </c>
      <c r="P8">
        <f t="shared" si="4"/>
        <v>8.6246637796126235E-2</v>
      </c>
    </row>
    <row r="9" spans="1:19" x14ac:dyDescent="0.2">
      <c r="A9">
        <v>3.5284015229997099</v>
      </c>
      <c r="B9">
        <v>96.507590624495606</v>
      </c>
      <c r="L9">
        <f t="shared" si="0"/>
        <v>11.187842981368476</v>
      </c>
      <c r="M9">
        <f t="shared" si="1"/>
        <v>1.4821738740699062</v>
      </c>
      <c r="N9">
        <f t="shared" si="2"/>
        <v>1.5759019504623415</v>
      </c>
      <c r="O9">
        <f t="shared" si="3"/>
        <v>16.582328574180725</v>
      </c>
      <c r="P9">
        <f t="shared" si="4"/>
        <v>9.5035021373058359E-2</v>
      </c>
    </row>
    <row r="10" spans="1:19" x14ac:dyDescent="0.2">
      <c r="A10">
        <v>3.9528704239374601</v>
      </c>
      <c r="B10">
        <v>94.811752937278598</v>
      </c>
      <c r="L10">
        <f t="shared" si="0"/>
        <v>11.23450073360126</v>
      </c>
      <c r="M10">
        <f t="shared" si="1"/>
        <v>1.486044411160524</v>
      </c>
      <c r="N10">
        <f t="shared" si="2"/>
        <v>1.7344607376055392</v>
      </c>
      <c r="O10">
        <f t="shared" si="3"/>
        <v>16.694967027346959</v>
      </c>
      <c r="P10">
        <f t="shared" si="4"/>
        <v>0.10389123469153487</v>
      </c>
    </row>
    <row r="11" spans="1:19" x14ac:dyDescent="0.2">
      <c r="A11">
        <v>4.2122680856216403</v>
      </c>
      <c r="B11">
        <v>93.980378851594097</v>
      </c>
      <c r="L11">
        <f t="shared" si="0"/>
        <v>11.263013804410184</v>
      </c>
      <c r="M11">
        <f t="shared" si="1"/>
        <v>1.4884097393825682</v>
      </c>
      <c r="N11">
        <f t="shared" si="2"/>
        <v>1.8320735885656754</v>
      </c>
      <c r="O11">
        <f t="shared" si="3"/>
        <v>16.76397944128443</v>
      </c>
      <c r="P11">
        <f t="shared" si="4"/>
        <v>0.10928631802386085</v>
      </c>
    </row>
    <row r="12" spans="1:19" x14ac:dyDescent="0.2">
      <c r="A12">
        <v>6.16954135105681</v>
      </c>
      <c r="B12">
        <v>86.030998686304898</v>
      </c>
      <c r="L12">
        <f t="shared" si="0"/>
        <v>11.478157884150241</v>
      </c>
      <c r="M12">
        <f t="shared" si="1"/>
        <v>1.5062572159670833</v>
      </c>
      <c r="N12">
        <f t="shared" si="2"/>
        <v>2.4563913687592578</v>
      </c>
      <c r="O12">
        <f t="shared" si="3"/>
        <v>17.28905813901077</v>
      </c>
      <c r="P12">
        <f t="shared" si="4"/>
        <v>0.14207780140531157</v>
      </c>
    </row>
    <row r="13" spans="1:19" x14ac:dyDescent="0.2">
      <c r="A13">
        <v>6.64117346320986</v>
      </c>
      <c r="B13">
        <v>84.305831655495197</v>
      </c>
      <c r="L13">
        <f t="shared" si="0"/>
        <v>11.529999831075555</v>
      </c>
      <c r="M13">
        <f t="shared" si="1"/>
        <v>1.5105578127344363</v>
      </c>
      <c r="N13">
        <f t="shared" si="2"/>
        <v>2.591147643054251</v>
      </c>
      <c r="O13">
        <f t="shared" si="3"/>
        <v>17.41673132565791</v>
      </c>
      <c r="P13">
        <f t="shared" si="4"/>
        <v>0.14877347503414917</v>
      </c>
    </row>
    <row r="14" spans="1:19" x14ac:dyDescent="0.2">
      <c r="A14">
        <v>7.0892239697552597</v>
      </c>
      <c r="B14">
        <v>82.648874149399802</v>
      </c>
      <c r="C14" s="4"/>
      <c r="D14" s="4"/>
      <c r="E14" s="4"/>
      <c r="F14" s="4"/>
      <c r="G14" s="4"/>
      <c r="H14" s="4"/>
      <c r="I14" s="4"/>
      <c r="J14" s="4"/>
      <c r="K14" s="4"/>
      <c r="L14">
        <f t="shared" si="0"/>
        <v>11.579249680654605</v>
      </c>
      <c r="M14">
        <f t="shared" si="1"/>
        <v>1.5146433796634218</v>
      </c>
      <c r="N14" s="4">
        <f t="shared" si="2"/>
        <v>2.7115983317217682</v>
      </c>
      <c r="O14" s="4">
        <f t="shared" si="3"/>
        <v>17.538433870273288</v>
      </c>
      <c r="P14" s="4">
        <f t="shared" si="4"/>
        <v>0.15460892071542279</v>
      </c>
    </row>
    <row r="15" spans="1:19" x14ac:dyDescent="0.2">
      <c r="A15">
        <v>7.5608560819083204</v>
      </c>
      <c r="B15">
        <v>80.951381986390402</v>
      </c>
      <c r="L15">
        <f t="shared" si="0"/>
        <v>11.63109162757992</v>
      </c>
      <c r="M15">
        <f t="shared" si="1"/>
        <v>1.5189439764307748</v>
      </c>
      <c r="N15">
        <f t="shared" si="2"/>
        <v>2.8325980883295996</v>
      </c>
      <c r="O15">
        <f t="shared" si="3"/>
        <v>17.666976567026936</v>
      </c>
      <c r="P15">
        <f t="shared" si="4"/>
        <v>0.16033292836400018</v>
      </c>
    </row>
    <row r="16" spans="1:19" x14ac:dyDescent="0.2">
      <c r="A16">
        <v>8.0324881940613704</v>
      </c>
      <c r="B16">
        <v>79.298560669775995</v>
      </c>
      <c r="L16">
        <f t="shared" si="0"/>
        <v>11.682933574505235</v>
      </c>
      <c r="M16">
        <f t="shared" si="1"/>
        <v>1.5232445731981279</v>
      </c>
      <c r="N16">
        <f t="shared" si="2"/>
        <v>2.9478482250998157</v>
      </c>
      <c r="O16">
        <f t="shared" si="3"/>
        <v>17.795965166399306</v>
      </c>
      <c r="P16">
        <f t="shared" si="4"/>
        <v>0.16564699905491329</v>
      </c>
    </row>
    <row r="17" spans="1:16" s="27" customFormat="1" x14ac:dyDescent="0.2">
      <c r="A17">
        <v>8.4805387006067701</v>
      </c>
      <c r="B17">
        <v>77.820286549260501</v>
      </c>
      <c r="L17">
        <f t="shared" si="0"/>
        <v>11.732183424084285</v>
      </c>
      <c r="M17">
        <f t="shared" si="1"/>
        <v>1.5273301401271133</v>
      </c>
      <c r="N17" s="27">
        <f t="shared" si="2"/>
        <v>3.054259862084828</v>
      </c>
      <c r="O17" s="27">
        <f t="shared" si="3"/>
        <v>17.918917353103648</v>
      </c>
      <c r="P17" s="27">
        <f t="shared" si="4"/>
        <v>0.17044890614196703</v>
      </c>
    </row>
    <row r="18" spans="1:16" x14ac:dyDescent="0.2">
      <c r="A18">
        <v>9.5181293473434891</v>
      </c>
      <c r="B18">
        <v>73.7465159276842</v>
      </c>
      <c r="L18">
        <f t="shared" si="0"/>
        <v>11.846235707319977</v>
      </c>
      <c r="M18">
        <f t="shared" si="1"/>
        <v>1.5367914530152902</v>
      </c>
      <c r="N18">
        <f t="shared" si="2"/>
        <v>3.2484996822504031</v>
      </c>
      <c r="O18">
        <f t="shared" si="3"/>
        <v>18.205193785413883</v>
      </c>
      <c r="P18">
        <f t="shared" si="4"/>
        <v>0.17843807215351487</v>
      </c>
    </row>
    <row r="19" spans="1:16" x14ac:dyDescent="0.2">
      <c r="A19">
        <v>9.9661798538888906</v>
      </c>
      <c r="B19">
        <v>72.259179792032995</v>
      </c>
      <c r="L19">
        <f t="shared" si="0"/>
        <v>11.895485556899027</v>
      </c>
      <c r="M19">
        <f t="shared" si="1"/>
        <v>1.5408770199442756</v>
      </c>
      <c r="N19">
        <f t="shared" si="2"/>
        <v>3.3328169923162876</v>
      </c>
      <c r="O19">
        <f t="shared" si="3"/>
        <v>18.329480335704744</v>
      </c>
      <c r="P19">
        <f t="shared" si="4"/>
        <v>0.18182823142149629</v>
      </c>
    </row>
    <row r="20" spans="1:16" x14ac:dyDescent="0.2">
      <c r="A20">
        <v>11.381076190348001</v>
      </c>
      <c r="B20">
        <v>66.954516782628602</v>
      </c>
      <c r="L20">
        <f t="shared" si="0"/>
        <v>12.051011397674966</v>
      </c>
      <c r="M20">
        <f t="shared" si="1"/>
        <v>1.5537788102463344</v>
      </c>
      <c r="N20">
        <f t="shared" si="2"/>
        <v>3.5265734179753441</v>
      </c>
      <c r="O20">
        <f t="shared" si="3"/>
        <v>18.724606151744425</v>
      </c>
      <c r="P20">
        <f t="shared" si="4"/>
        <v>0.18833899038494867</v>
      </c>
    </row>
    <row r="21" spans="1:16" x14ac:dyDescent="0.2">
      <c r="A21">
        <v>11.876289908108699</v>
      </c>
      <c r="B21">
        <v>65.387653003774204</v>
      </c>
      <c r="L21">
        <f t="shared" si="0"/>
        <v>12.105445441946546</v>
      </c>
      <c r="M21">
        <f t="shared" si="1"/>
        <v>1.558294436852055</v>
      </c>
      <c r="N21">
        <f t="shared" si="2"/>
        <v>3.5939022332471966</v>
      </c>
      <c r="O21">
        <f t="shared" si="3"/>
        <v>18.863848287801371</v>
      </c>
      <c r="P21">
        <f t="shared" si="4"/>
        <v>0.1905179780082972</v>
      </c>
    </row>
    <row r="22" spans="1:16" x14ac:dyDescent="0.2">
      <c r="A22">
        <v>12.2064323866159</v>
      </c>
      <c r="B22">
        <v>64.609297346891907</v>
      </c>
      <c r="L22">
        <f t="shared" si="0"/>
        <v>12.141734804794273</v>
      </c>
      <c r="M22">
        <f t="shared" si="1"/>
        <v>1.5613048545892028</v>
      </c>
      <c r="N22">
        <f t="shared" si="2"/>
        <v>3.6498371440179698</v>
      </c>
      <c r="O22">
        <f t="shared" si="3"/>
        <v>18.956949493859984</v>
      </c>
      <c r="P22">
        <f t="shared" si="4"/>
        <v>0.19253293601906388</v>
      </c>
    </row>
    <row r="23" spans="1:16" x14ac:dyDescent="0.2">
      <c r="A23">
        <v>17.535875253945399</v>
      </c>
      <c r="B23">
        <v>57.414583753275501</v>
      </c>
      <c r="L23">
        <f t="shared" si="0"/>
        <v>12.727548805050333</v>
      </c>
      <c r="M23">
        <f t="shared" si="1"/>
        <v>1.6099015980602924</v>
      </c>
      <c r="N23">
        <f t="shared" si="2"/>
        <v>4.6595007590666304</v>
      </c>
      <c r="O23">
        <f t="shared" si="3"/>
        <v>20.490101160640897</v>
      </c>
      <c r="P23">
        <f t="shared" si="4"/>
        <v>0.2274025258604867</v>
      </c>
    </row>
    <row r="24" spans="1:16" x14ac:dyDescent="0.2">
      <c r="A24">
        <v>18.054670577313701</v>
      </c>
      <c r="B24">
        <v>56.967875289325697</v>
      </c>
      <c r="L24">
        <f t="shared" ref="L24:L50" si="5">10.8+2.4*A24/32.9</f>
        <v>12.117058036035044</v>
      </c>
      <c r="M24">
        <f t="shared" si="1"/>
        <v>1.6146322545043803</v>
      </c>
      <c r="N24">
        <f t="shared" si="2"/>
        <v>4.7600258328882576</v>
      </c>
      <c r="O24">
        <f t="shared" si="3"/>
        <v>19.564592734683682</v>
      </c>
      <c r="P24">
        <f t="shared" si="4"/>
        <v>0.24329797698521921</v>
      </c>
    </row>
    <row r="25" spans="1:16" x14ac:dyDescent="0.2">
      <c r="A25">
        <v>18.573465900682098</v>
      </c>
      <c r="B25">
        <v>56.534703445495502</v>
      </c>
      <c r="L25">
        <f t="shared" ref="L25:L50" si="6">10.8+2.4*A25/21.834</f>
        <v>12.841601088286025</v>
      </c>
      <c r="M25">
        <f t="shared" si="1"/>
        <v>1.6193629109484688</v>
      </c>
      <c r="N25" s="27">
        <f t="shared" ref="N25:N50" si="7">(B25*9.80665)*(A25/2119)</f>
        <v>4.859569415286483</v>
      </c>
      <c r="O25" s="27">
        <f t="shared" ref="O25:O50" si="8">L25*M25</f>
        <v>20.795212519565883</v>
      </c>
      <c r="P25" s="27">
        <f t="shared" ref="P25:P50" si="9">(N25)/(O25)</f>
        <v>0.2336869320625693</v>
      </c>
    </row>
    <row r="26" spans="1:16" x14ac:dyDescent="0.2">
      <c r="A26">
        <v>19.0922612240504</v>
      </c>
      <c r="B26">
        <v>56.074458361425997</v>
      </c>
      <c r="L26">
        <f t="shared" si="6"/>
        <v>12.898627229903864</v>
      </c>
      <c r="M26">
        <f t="shared" si="1"/>
        <v>1.6240935673925567</v>
      </c>
      <c r="N26">
        <f t="shared" si="7"/>
        <v>4.9546407930650771</v>
      </c>
      <c r="O26">
        <f t="shared" si="8"/>
        <v>20.948577512281339</v>
      </c>
      <c r="P26">
        <f t="shared" si="9"/>
        <v>0.23651442634519518</v>
      </c>
    </row>
    <row r="27" spans="1:16" x14ac:dyDescent="0.2">
      <c r="A27">
        <v>19.611056547418801</v>
      </c>
      <c r="B27">
        <v>55.553298486817802</v>
      </c>
      <c r="L27">
        <f t="shared" si="6"/>
        <v>12.955653371521716</v>
      </c>
      <c r="M27">
        <f t="shared" si="1"/>
        <v>1.6288242238366455</v>
      </c>
      <c r="N27">
        <f t="shared" si="7"/>
        <v>5.0419735281457791</v>
      </c>
      <c r="O27">
        <f t="shared" si="8"/>
        <v>21.102482047165481</v>
      </c>
      <c r="P27">
        <f t="shared" si="9"/>
        <v>0.23892798566901399</v>
      </c>
    </row>
    <row r="28" spans="1:16" x14ac:dyDescent="0.2">
      <c r="A28">
        <v>20.1298518707871</v>
      </c>
      <c r="B28">
        <v>55.025370302149803</v>
      </c>
      <c r="L28">
        <f t="shared" si="6"/>
        <v>13.012679513139556</v>
      </c>
      <c r="M28">
        <f t="shared" si="1"/>
        <v>1.6335548802807334</v>
      </c>
      <c r="N28">
        <f t="shared" si="7"/>
        <v>5.1261731533699368</v>
      </c>
      <c r="O28">
        <f t="shared" si="8"/>
        <v>21.256926124218239</v>
      </c>
      <c r="P28">
        <f t="shared" si="9"/>
        <v>0.24115307751526849</v>
      </c>
    </row>
    <row r="29" spans="1:16" x14ac:dyDescent="0.2">
      <c r="A29">
        <v>21.780564263322798</v>
      </c>
      <c r="B29">
        <v>52.480485719647703</v>
      </c>
      <c r="L29">
        <f t="shared" si="6"/>
        <v>13.194126327378159</v>
      </c>
      <c r="M29">
        <f t="shared" si="1"/>
        <v>1.6486069689664693</v>
      </c>
      <c r="N29">
        <f t="shared" si="7"/>
        <v>5.2900124174373575</v>
      </c>
      <c r="O29">
        <f t="shared" si="8"/>
        <v>21.751928612739601</v>
      </c>
      <c r="P29">
        <f t="shared" si="9"/>
        <v>0.24319739695813086</v>
      </c>
    </row>
    <row r="30" spans="1:16" x14ac:dyDescent="0.2">
      <c r="A30">
        <v>22.2993595866912</v>
      </c>
      <c r="B30">
        <v>51.532922311269203</v>
      </c>
      <c r="L30">
        <f t="shared" si="6"/>
        <v>13.251152468996011</v>
      </c>
      <c r="M30">
        <f t="shared" si="1"/>
        <v>1.6533376254105581</v>
      </c>
      <c r="N30">
        <f t="shared" si="7"/>
        <v>5.3182271231402201</v>
      </c>
      <c r="O30">
        <f t="shared" si="8"/>
        <v>21.908628957043121</v>
      </c>
      <c r="P30">
        <f t="shared" si="9"/>
        <v>0.2427457753548988</v>
      </c>
    </row>
    <row r="31" spans="1:16" x14ac:dyDescent="0.2">
      <c r="A31">
        <v>22.818154910059501</v>
      </c>
      <c r="B31">
        <v>50.4364560815742</v>
      </c>
      <c r="L31">
        <f t="shared" si="6"/>
        <v>13.308178610613851</v>
      </c>
      <c r="M31">
        <f t="shared" si="1"/>
        <v>1.6580682818546459</v>
      </c>
      <c r="N31">
        <f t="shared" si="7"/>
        <v>5.3261673293596337</v>
      </c>
      <c r="O31">
        <f t="shared" si="8"/>
        <v>22.065868843515258</v>
      </c>
      <c r="P31">
        <f t="shared" si="9"/>
        <v>0.24137582649164044</v>
      </c>
    </row>
    <row r="32" spans="1:16" x14ac:dyDescent="0.2">
      <c r="A32">
        <v>23.336950233427899</v>
      </c>
      <c r="B32">
        <v>49.218160270801903</v>
      </c>
      <c r="L32">
        <f t="shared" si="6"/>
        <v>13.365204752231701</v>
      </c>
      <c r="M32">
        <f t="shared" si="1"/>
        <v>1.6627989382987347</v>
      </c>
      <c r="N32">
        <f t="shared" si="7"/>
        <v>5.3156844825505249</v>
      </c>
      <c r="O32">
        <f t="shared" si="8"/>
        <v>22.223648272156076</v>
      </c>
      <c r="P32">
        <f t="shared" si="9"/>
        <v>0.23919045232598132</v>
      </c>
    </row>
    <row r="33" spans="1:16" x14ac:dyDescent="0.2">
      <c r="A33">
        <v>23.8557455567963</v>
      </c>
      <c r="B33">
        <v>47.850961638713002</v>
      </c>
      <c r="L33">
        <f t="shared" si="6"/>
        <v>13.422230893849553</v>
      </c>
      <c r="M33">
        <f t="shared" si="1"/>
        <v>1.6675295947428235</v>
      </c>
      <c r="N33">
        <f t="shared" si="7"/>
        <v>5.2829120775563609</v>
      </c>
      <c r="O33">
        <f t="shared" si="8"/>
        <v>22.381967242965551</v>
      </c>
      <c r="P33">
        <f t="shared" si="9"/>
        <v>0.23603430476902035</v>
      </c>
    </row>
    <row r="34" spans="1:16" x14ac:dyDescent="0.2">
      <c r="A34">
        <v>24.374540880164599</v>
      </c>
      <c r="B34">
        <v>46.3483968054271</v>
      </c>
      <c r="L34">
        <f t="shared" si="6"/>
        <v>13.479257035467393</v>
      </c>
      <c r="M34">
        <f t="shared" si="1"/>
        <v>1.6722602511869111</v>
      </c>
      <c r="N34" s="4">
        <f t="shared" si="7"/>
        <v>5.2283045738759562</v>
      </c>
      <c r="O34" s="4">
        <f t="shared" si="8"/>
        <v>22.54082575594364</v>
      </c>
      <c r="P34" s="4">
        <f t="shared" si="9"/>
        <v>0.23194822720713057</v>
      </c>
    </row>
    <row r="35" spans="1:16" x14ac:dyDescent="0.2">
      <c r="A35">
        <v>24.7518465698871</v>
      </c>
      <c r="B35">
        <v>45.415723679180303</v>
      </c>
      <c r="L35">
        <f t="shared" si="6"/>
        <v>13.52073059300765</v>
      </c>
      <c r="M35">
        <f t="shared" si="1"/>
        <v>1.6757007286007941</v>
      </c>
      <c r="N35">
        <f t="shared" si="7"/>
        <v>5.2023978560231923</v>
      </c>
      <c r="O35">
        <f t="shared" si="8"/>
        <v>22.656698105917968</v>
      </c>
      <c r="P35">
        <f t="shared" si="9"/>
        <v>0.22961853628019685</v>
      </c>
    </row>
    <row r="36" spans="1:16" x14ac:dyDescent="0.2">
      <c r="A36">
        <v>25.506457949331999</v>
      </c>
      <c r="B36">
        <v>42.152044568322502</v>
      </c>
      <c r="L36">
        <f t="shared" si="6"/>
        <v>13.603677708088156</v>
      </c>
      <c r="M36">
        <f t="shared" si="1"/>
        <v>1.6825816834285592</v>
      </c>
      <c r="N36">
        <f t="shared" si="7"/>
        <v>4.9757495966698135</v>
      </c>
      <c r="O36">
        <f t="shared" si="8"/>
        <v>22.889298938894534</v>
      </c>
      <c r="P36">
        <f t="shared" si="9"/>
        <v>0.21738322392280851</v>
      </c>
    </row>
    <row r="37" spans="1:16" x14ac:dyDescent="0.2">
      <c r="A37">
        <v>25.860182033446701</v>
      </c>
      <c r="B37">
        <v>40.747620230904502</v>
      </c>
      <c r="L37">
        <f t="shared" si="6"/>
        <v>13.642559168282133</v>
      </c>
      <c r="M37">
        <f t="shared" si="1"/>
        <v>1.6858071310040732</v>
      </c>
      <c r="N37" s="27">
        <f t="shared" si="7"/>
        <v>4.8766719997728485</v>
      </c>
      <c r="O37" s="27">
        <f t="shared" si="8"/>
        <v>22.998723531035019</v>
      </c>
      <c r="P37" s="27">
        <f t="shared" si="9"/>
        <v>0.21204098536999902</v>
      </c>
    </row>
    <row r="38" spans="1:16" x14ac:dyDescent="0.2">
      <c r="A38">
        <v>26.579421004480199</v>
      </c>
      <c r="B38">
        <v>37.062275403318303</v>
      </c>
      <c r="L38">
        <f t="shared" si="6"/>
        <v>13.721618137343249</v>
      </c>
      <c r="M38">
        <f t="shared" si="1"/>
        <v>1.6923655410742875</v>
      </c>
      <c r="N38">
        <f t="shared" si="7"/>
        <v>4.5589760844426435</v>
      </c>
      <c r="O38">
        <f t="shared" si="8"/>
        <v>23.221993703419663</v>
      </c>
      <c r="P38">
        <f t="shared" si="9"/>
        <v>0.19632147621206572</v>
      </c>
    </row>
    <row r="39" spans="1:16" x14ac:dyDescent="0.2">
      <c r="A39">
        <v>26.817595221117401</v>
      </c>
      <c r="B39">
        <v>35.379673522440498</v>
      </c>
      <c r="L39">
        <f t="shared" si="6"/>
        <v>13.747798320540523</v>
      </c>
      <c r="M39">
        <f t="shared" si="1"/>
        <v>1.6945373424418</v>
      </c>
      <c r="N39">
        <f t="shared" si="7"/>
        <v>4.3909993337483382</v>
      </c>
      <c r="O39">
        <f t="shared" si="8"/>
        <v>23.296157630514578</v>
      </c>
      <c r="P39">
        <f t="shared" si="9"/>
        <v>0.18848598998131638</v>
      </c>
    </row>
    <row r="40" spans="1:16" x14ac:dyDescent="0.2">
      <c r="A40">
        <v>26.952796426601299</v>
      </c>
      <c r="B40">
        <v>35.300258684405001</v>
      </c>
      <c r="L40">
        <f t="shared" si="6"/>
        <v>13.762659678659116</v>
      </c>
      <c r="M40">
        <f t="shared" si="1"/>
        <v>1.6957701801817748</v>
      </c>
      <c r="N40">
        <f t="shared" si="7"/>
        <v>4.4032306770215408</v>
      </c>
      <c r="O40">
        <f t="shared" si="8"/>
        <v>23.338307883060217</v>
      </c>
      <c r="P40">
        <f t="shared" si="9"/>
        <v>0.18866966273152835</v>
      </c>
    </row>
    <row r="41" spans="1:16" x14ac:dyDescent="0.2">
      <c r="A41">
        <v>27.251496764298299</v>
      </c>
      <c r="B41">
        <v>33.658782344652799</v>
      </c>
      <c r="L41">
        <f t="shared" si="6"/>
        <v>13.795492911711822</v>
      </c>
      <c r="M41">
        <f t="shared" si="1"/>
        <v>1.6984938914677656</v>
      </c>
      <c r="N41">
        <f t="shared" si="7"/>
        <v>4.2450076776979202</v>
      </c>
      <c r="O41">
        <f t="shared" si="8"/>
        <v>23.431560440329388</v>
      </c>
      <c r="P41">
        <f t="shared" si="9"/>
        <v>0.18116623894973707</v>
      </c>
    </row>
    <row r="42" spans="1:16" x14ac:dyDescent="0.2">
      <c r="A42">
        <v>27.605220848413001</v>
      </c>
      <c r="B42">
        <v>31.841370230904499</v>
      </c>
      <c r="L42">
        <f t="shared" si="6"/>
        <v>13.834374371905799</v>
      </c>
      <c r="M42">
        <f t="shared" si="1"/>
        <v>1.7017193390432797</v>
      </c>
      <c r="N42">
        <f t="shared" si="7"/>
        <v>4.0679227147311421</v>
      </c>
      <c r="O42">
        <f t="shared" si="8"/>
        <v>23.542222412236825</v>
      </c>
      <c r="P42">
        <f t="shared" si="9"/>
        <v>0.17279263798887182</v>
      </c>
    </row>
    <row r="43" spans="1:16" x14ac:dyDescent="0.2">
      <c r="A43">
        <v>28.241924199819699</v>
      </c>
      <c r="B43">
        <v>27.921296650270499</v>
      </c>
      <c r="L43">
        <f t="shared" si="6"/>
        <v>13.904361000254983</v>
      </c>
      <c r="M43">
        <f t="shared" si="1"/>
        <v>1.707525144679207</v>
      </c>
      <c r="N43">
        <f t="shared" si="7"/>
        <v>3.6493841774277138</v>
      </c>
      <c r="O43">
        <f t="shared" si="8"/>
        <v>23.742046028632313</v>
      </c>
      <c r="P43">
        <f t="shared" si="9"/>
        <v>0.15370975917689014</v>
      </c>
    </row>
    <row r="44" spans="1:16" x14ac:dyDescent="0.2">
      <c r="A44">
        <v>28.595648283934501</v>
      </c>
      <c r="B44">
        <v>26.093100899661</v>
      </c>
      <c r="L44">
        <f t="shared" ref="L44:L50" si="10">10.8+2.4*A44/32.9</f>
        <v>12.886004738037776</v>
      </c>
      <c r="M44">
        <f t="shared" si="1"/>
        <v>1.7107505922547219</v>
      </c>
      <c r="N44">
        <f t="shared" si="7"/>
        <v>3.453149327135717</v>
      </c>
      <c r="O44">
        <f t="shared" si="8"/>
        <v>22.044740237395278</v>
      </c>
      <c r="P44">
        <f t="shared" si="9"/>
        <v>0.15664277691410566</v>
      </c>
    </row>
    <row r="45" spans="1:16" x14ac:dyDescent="0.2">
      <c r="A45">
        <v>28.878627551226302</v>
      </c>
      <c r="B45">
        <v>24.455169865178199</v>
      </c>
      <c r="L45">
        <f t="shared" ref="L45:L50" si="11">10.8+2.4*A45/21.834</f>
        <v>13.974347628604155</v>
      </c>
      <c r="M45">
        <f t="shared" si="1"/>
        <v>1.7133309503151333</v>
      </c>
      <c r="N45" s="27">
        <f t="shared" si="7"/>
        <v>3.2684131736775544</v>
      </c>
      <c r="O45" s="27">
        <f t="shared" si="8"/>
        <v>23.942682302550388</v>
      </c>
      <c r="P45" s="27">
        <f t="shared" si="9"/>
        <v>0.13650990028504037</v>
      </c>
    </row>
    <row r="46" spans="1:16" x14ac:dyDescent="0.2">
      <c r="A46">
        <v>29.161606818518099</v>
      </c>
      <c r="B46">
        <v>22.804830262252398</v>
      </c>
      <c r="L46">
        <f t="shared" si="11"/>
        <v>14.005452796759341</v>
      </c>
      <c r="M46">
        <f t="shared" si="1"/>
        <v>1.7159113083755448</v>
      </c>
      <c r="N46">
        <f t="shared" si="7"/>
        <v>3.0777122498854252</v>
      </c>
      <c r="O46">
        <f t="shared" si="8"/>
        <v>24.032114832879255</v>
      </c>
      <c r="P46">
        <f t="shared" si="9"/>
        <v>0.12806664212816965</v>
      </c>
    </row>
    <row r="47" spans="1:16" x14ac:dyDescent="0.2">
      <c r="A47">
        <v>29.444586085809998</v>
      </c>
      <c r="B47">
        <v>21.142082090883601</v>
      </c>
      <c r="L47">
        <f t="shared" si="11"/>
        <v>14.036557964914538</v>
      </c>
      <c r="M47">
        <f t="shared" si="1"/>
        <v>1.7184916664359573</v>
      </c>
      <c r="N47">
        <f t="shared" si="7"/>
        <v>2.8809978043391391</v>
      </c>
      <c r="O47">
        <f t="shared" si="8"/>
        <v>24.121707888150894</v>
      </c>
      <c r="P47">
        <f t="shared" si="9"/>
        <v>0.11943589640078295</v>
      </c>
    </row>
    <row r="48" spans="1:16" x14ac:dyDescent="0.2">
      <c r="A48">
        <v>29.727565353101799</v>
      </c>
      <c r="B48">
        <v>19.466925351071598</v>
      </c>
      <c r="L48">
        <f t="shared" si="11"/>
        <v>14.067663133069724</v>
      </c>
      <c r="M48">
        <f t="shared" si="1"/>
        <v>1.7210720244963689</v>
      </c>
      <c r="N48">
        <f t="shared" si="7"/>
        <v>2.6782210856184476</v>
      </c>
      <c r="O48">
        <f t="shared" si="8"/>
        <v>24.21146146836524</v>
      </c>
      <c r="P48">
        <f t="shared" si="9"/>
        <v>0.11061790256312361</v>
      </c>
    </row>
    <row r="49" spans="1:16" x14ac:dyDescent="0.2">
      <c r="A49">
        <v>30.010544620393599</v>
      </c>
      <c r="B49">
        <v>17.754542905930599</v>
      </c>
      <c r="L49">
        <f t="shared" si="11"/>
        <v>14.098768301224908</v>
      </c>
      <c r="M49">
        <f t="shared" si="1"/>
        <v>1.7236523825567804</v>
      </c>
      <c r="N49">
        <f t="shared" si="7"/>
        <v>2.4658865487501291</v>
      </c>
      <c r="O49">
        <f t="shared" si="8"/>
        <v>24.301375573522325</v>
      </c>
      <c r="P49">
        <f t="shared" si="9"/>
        <v>0.1014710686351783</v>
      </c>
    </row>
    <row r="50" spans="1:16" x14ac:dyDescent="0.2">
      <c r="A50">
        <v>30.293523887685399</v>
      </c>
      <c r="B50">
        <v>16.064495883987</v>
      </c>
      <c r="L50">
        <f t="shared" si="11"/>
        <v>14.129873469380094</v>
      </c>
      <c r="M50">
        <f t="shared" si="1"/>
        <v>1.726232740617192</v>
      </c>
      <c r="N50">
        <f t="shared" si="7"/>
        <v>2.2521982462732457</v>
      </c>
      <c r="O50">
        <f t="shared" si="8"/>
        <v>24.391450203622149</v>
      </c>
      <c r="P50">
        <f t="shared" si="9"/>
        <v>9.2335561332830982E-2</v>
      </c>
    </row>
    <row r="51" spans="1:16" x14ac:dyDescent="0.2">
      <c r="A51">
        <v>30.532708744563099</v>
      </c>
      <c r="B51">
        <v>14.4184106473845</v>
      </c>
      <c r="L51">
        <f>10.8+2.4*A51/32.9</f>
        <v>13.027310060393662</v>
      </c>
      <c r="M51">
        <f t="shared" si="1"/>
        <v>1.7284137575492076</v>
      </c>
      <c r="N51">
        <f>(B51*9.80665)*(A51/2119)</f>
        <v>2.0373819029368843</v>
      </c>
      <c r="O51">
        <f>L51*M51</f>
        <v>22.516581932243604</v>
      </c>
      <c r="P51">
        <f>(N51)/(O51)</f>
        <v>9.0483622650530546E-2</v>
      </c>
    </row>
    <row r="52" spans="1:16" x14ac:dyDescent="0.2">
      <c r="A52">
        <v>30.8594824222691</v>
      </c>
      <c r="B52">
        <v>12.7042555496087</v>
      </c>
      <c r="L52">
        <f t="shared" ref="L52:L61" si="12">10.8+2.4*A52/21.834</f>
        <v>14.192083805690476</v>
      </c>
      <c r="M52">
        <f t="shared" si="1"/>
        <v>1.731393456738016</v>
      </c>
      <c r="N52" s="27">
        <f t="shared" ref="N52:N61" si="13">(B52*9.80665)*(A52/2119)</f>
        <v>1.8143771915716711</v>
      </c>
      <c r="O52" s="27">
        <f t="shared" ref="O52:O61" si="14">L52*M52</f>
        <v>24.572081038650051</v>
      </c>
      <c r="P52" s="27">
        <f t="shared" ref="P52:P61" si="15">(N52)/(O52)</f>
        <v>7.3838971502567935E-2</v>
      </c>
    </row>
    <row r="53" spans="1:16" x14ac:dyDescent="0.2">
      <c r="A53">
        <v>31.1424616895609</v>
      </c>
      <c r="B53">
        <v>10.9546473991385</v>
      </c>
      <c r="L53">
        <f t="shared" si="12"/>
        <v>14.223188973845662</v>
      </c>
      <c r="M53">
        <f t="shared" si="1"/>
        <v>1.7339738147984276</v>
      </c>
      <c r="N53">
        <f t="shared" si="13"/>
        <v>1.578850689372979</v>
      </c>
      <c r="O53">
        <f t="shared" si="14"/>
        <v>24.662637243578097</v>
      </c>
      <c r="P53">
        <f t="shared" si="15"/>
        <v>6.4017918026349596E-2</v>
      </c>
    </row>
    <row r="54" spans="1:16" x14ac:dyDescent="0.2">
      <c r="A54">
        <v>31.378277745637501</v>
      </c>
      <c r="B54">
        <v>9.5710920177383496</v>
      </c>
      <c r="L54">
        <f t="shared" si="12"/>
        <v>14.249109947308327</v>
      </c>
      <c r="M54">
        <f t="shared" si="1"/>
        <v>1.7361241131821048</v>
      </c>
      <c r="N54">
        <f t="shared" si="13"/>
        <v>1.3898896257836244</v>
      </c>
      <c r="O54">
        <f t="shared" si="14"/>
        <v>24.738223370904976</v>
      </c>
      <c r="P54">
        <f t="shared" si="15"/>
        <v>5.6183890206856817E-2</v>
      </c>
    </row>
    <row r="55" spans="1:16" x14ac:dyDescent="0.2">
      <c r="A55">
        <v>32.085725913867101</v>
      </c>
      <c r="B55">
        <v>5.1846630731197401</v>
      </c>
      <c r="L55">
        <f t="shared" si="12"/>
        <v>14.326872867696302</v>
      </c>
      <c r="M55">
        <f t="shared" si="1"/>
        <v>1.7425750083331346</v>
      </c>
      <c r="N55">
        <f t="shared" si="13"/>
        <v>0.76987838579307799</v>
      </c>
      <c r="O55">
        <f t="shared" si="14"/>
        <v>24.965650606813643</v>
      </c>
      <c r="P55">
        <f t="shared" si="15"/>
        <v>3.0837505415659477E-2</v>
      </c>
    </row>
    <row r="56" spans="1:16" x14ac:dyDescent="0.2">
      <c r="A56">
        <v>32.368705181158901</v>
      </c>
      <c r="B56">
        <v>3.47228062797869</v>
      </c>
      <c r="L56">
        <f t="shared" si="12"/>
        <v>14.357978035851488</v>
      </c>
      <c r="M56">
        <f t="shared" si="1"/>
        <v>1.7451553663935462</v>
      </c>
      <c r="N56">
        <f t="shared" si="13"/>
        <v>0.52015150963102696</v>
      </c>
      <c r="O56">
        <f t="shared" si="14"/>
        <v>25.056902419826891</v>
      </c>
      <c r="P56">
        <f t="shared" si="15"/>
        <v>2.0758811321364458E-2</v>
      </c>
    </row>
    <row r="57" spans="1:16" x14ac:dyDescent="0.2">
      <c r="A57">
        <v>32.628102842843099</v>
      </c>
      <c r="B57">
        <v>1.9956609832556</v>
      </c>
      <c r="L57">
        <f t="shared" si="12"/>
        <v>14.386491106660413</v>
      </c>
      <c r="M57">
        <f t="shared" si="1"/>
        <v>1.7475206946155906</v>
      </c>
      <c r="N57">
        <f t="shared" si="13"/>
        <v>0.30134799620216413</v>
      </c>
      <c r="O57">
        <f t="shared" si="14"/>
        <v>25.140690931792221</v>
      </c>
      <c r="P57">
        <f t="shared" si="15"/>
        <v>1.1986464374417324E-2</v>
      </c>
    </row>
    <row r="58" spans="1:16" x14ac:dyDescent="0.2">
      <c r="A58">
        <v>13.133047210300401</v>
      </c>
      <c r="B58">
        <v>62.682926829268297</v>
      </c>
      <c r="L58">
        <f t="shared" si="12"/>
        <v>12.243588591404276</v>
      </c>
      <c r="M58">
        <f t="shared" si="1"/>
        <v>1.5697542298811586</v>
      </c>
      <c r="N58">
        <f t="shared" si="13"/>
        <v>3.8098202946854074</v>
      </c>
      <c r="O58">
        <f t="shared" si="14"/>
        <v>19.219424980281559</v>
      </c>
      <c r="P58">
        <f t="shared" si="15"/>
        <v>0.19822758998222612</v>
      </c>
    </row>
    <row r="59" spans="1:16" x14ac:dyDescent="0.2">
      <c r="A59">
        <v>14.1373390557939</v>
      </c>
      <c r="B59">
        <v>60.731707317073102</v>
      </c>
      <c r="L59">
        <f t="shared" si="12"/>
        <v>12.353980660158715</v>
      </c>
      <c r="M59">
        <f t="shared" si="1"/>
        <v>1.5789119062838348</v>
      </c>
      <c r="N59">
        <f t="shared" si="13"/>
        <v>3.9734969413579542</v>
      </c>
      <c r="O59">
        <f t="shared" si="14"/>
        <v>19.505847154324826</v>
      </c>
      <c r="P59">
        <f t="shared" si="15"/>
        <v>0.20370799124594557</v>
      </c>
    </row>
    <row r="60" spans="1:16" x14ac:dyDescent="0.2">
      <c r="A60">
        <v>15.527896995708099</v>
      </c>
      <c r="B60">
        <v>59.268292682926798</v>
      </c>
      <c r="L60">
        <f t="shared" si="12"/>
        <v>12.506831216895643</v>
      </c>
      <c r="M60">
        <f t="shared" si="1"/>
        <v>1.591591765918311</v>
      </c>
      <c r="N60">
        <f t="shared" si="13"/>
        <v>4.2591680625616624</v>
      </c>
      <c r="O60">
        <f t="shared" si="14"/>
        <v>19.905769582541193</v>
      </c>
      <c r="P60">
        <f t="shared" si="15"/>
        <v>0.21396651080987406</v>
      </c>
    </row>
    <row r="61" spans="1:16" x14ac:dyDescent="0.2">
      <c r="L61">
        <f t="shared" si="12"/>
        <v>10.8</v>
      </c>
      <c r="M61">
        <f t="shared" ref="M52:M61" si="16">0.5+0.1*A61/21.834</f>
        <v>0.5</v>
      </c>
      <c r="N61" s="4">
        <f t="shared" si="13"/>
        <v>0</v>
      </c>
      <c r="O61" s="4">
        <f t="shared" si="14"/>
        <v>5.4</v>
      </c>
      <c r="P61" s="4">
        <f t="shared" si="15"/>
        <v>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6E0D9-272C-453D-978E-DE3EB395281D}">
  <dimension ref="A1:W60"/>
  <sheetViews>
    <sheetView workbookViewId="0">
      <selection activeCell="M23" sqref="M23"/>
    </sheetView>
  </sheetViews>
  <sheetFormatPr baseColWidth="10" defaultColWidth="8.83203125" defaultRowHeight="15" x14ac:dyDescent="0.2"/>
  <cols>
    <col min="1" max="1" width="16.33203125" customWidth="1"/>
    <col min="2" max="2" width="19.1640625" customWidth="1"/>
    <col min="3" max="3" width="21.33203125" customWidth="1"/>
    <col min="19" max="19" width="15" customWidth="1"/>
    <col min="20" max="20" width="11.1640625" bestFit="1" customWidth="1"/>
    <col min="22" max="22" width="14.33203125" customWidth="1"/>
  </cols>
  <sheetData>
    <row r="1" spans="1:23" x14ac:dyDescent="0.2">
      <c r="B1" t="s">
        <v>38</v>
      </c>
      <c r="M1">
        <v>10.8</v>
      </c>
      <c r="N1">
        <v>2.6</v>
      </c>
      <c r="Q1" t="s">
        <v>20</v>
      </c>
      <c r="R1" t="s">
        <v>19</v>
      </c>
    </row>
    <row r="2" spans="1:23" x14ac:dyDescent="0.2">
      <c r="I2" t="s">
        <v>5</v>
      </c>
      <c r="M2">
        <v>13.2</v>
      </c>
      <c r="N2">
        <v>3.5</v>
      </c>
      <c r="Q2" t="s">
        <v>15</v>
      </c>
      <c r="V2" t="s">
        <v>26</v>
      </c>
      <c r="W2" t="s">
        <v>27</v>
      </c>
    </row>
    <row r="3" spans="1:23" ht="16" thickBot="1" x14ac:dyDescent="0.25">
      <c r="A3" t="s">
        <v>39</v>
      </c>
      <c r="B3" t="s">
        <v>4</v>
      </c>
      <c r="C3" t="s">
        <v>2</v>
      </c>
      <c r="G3" t="s">
        <v>7</v>
      </c>
      <c r="I3" t="s">
        <v>11</v>
      </c>
      <c r="J3" s="4" t="s">
        <v>12</v>
      </c>
      <c r="K3" s="4" t="s">
        <v>13</v>
      </c>
      <c r="M3" t="s">
        <v>16</v>
      </c>
      <c r="N3" t="s">
        <v>17</v>
      </c>
      <c r="O3" t="s">
        <v>28</v>
      </c>
      <c r="P3" t="s">
        <v>29</v>
      </c>
      <c r="Q3" s="26" t="s">
        <v>40</v>
      </c>
      <c r="S3" t="s">
        <v>22</v>
      </c>
      <c r="T3" t="s">
        <v>23</v>
      </c>
      <c r="V3">
        <f>12*N1</f>
        <v>31.200000000000003</v>
      </c>
      <c r="W3">
        <f>(38/2119)*(188.72*9.80665)/V3</f>
        <v>1.063742838663617</v>
      </c>
    </row>
    <row r="4" spans="1:23" ht="16" thickBot="1" x14ac:dyDescent="0.25">
      <c r="A4">
        <f>0.00047194745*B4</f>
        <v>5.6170026348868047E-4</v>
      </c>
      <c r="B4" s="24">
        <v>1.1901754389999999</v>
      </c>
      <c r="C4" s="24">
        <v>182.61418620000001</v>
      </c>
      <c r="E4" t="s">
        <v>6</v>
      </c>
      <c r="F4">
        <v>1.19</v>
      </c>
      <c r="G4">
        <f>FORECAST(F4,$C$4:$C$23,$B$4:$B$23)</f>
        <v>175.67772618391319</v>
      </c>
      <c r="H4" t="s">
        <v>8</v>
      </c>
      <c r="I4">
        <f>FORECAST(B4,$C$4:$C$23,$B$4:$B$23)</f>
        <v>175.67697355172285</v>
      </c>
      <c r="J4" s="4">
        <f>SLOPE(C4:C60, B4:B60)</f>
        <v>-4.2899936179679052</v>
      </c>
      <c r="K4" s="4">
        <f>INTERCEPT(C4:C60,B4:B60)</f>
        <v>180.782818589295</v>
      </c>
      <c r="L4">
        <v>1</v>
      </c>
      <c r="M4">
        <f>L4*$S$4/3+10.7</f>
        <v>10.824999999999999</v>
      </c>
      <c r="N4">
        <f>L4*$S$4/7.5+2.5</f>
        <v>2.5499999999999998</v>
      </c>
      <c r="O4">
        <f>(C4*9.80665)*(B4/2119)</f>
        <v>1.005854619560808</v>
      </c>
      <c r="P4">
        <f>M4*N4</f>
        <v>27.603749999999998</v>
      </c>
      <c r="Q4">
        <f>(O4)/(P4)</f>
        <v>3.643905699627073E-2</v>
      </c>
      <c r="S4" s="5">
        <f>SLOPE(N1:N2, M1:M2)</f>
        <v>0.37500000000000011</v>
      </c>
      <c r="T4" s="5">
        <f>SLOPE(M1:M2, N1:N2)</f>
        <v>2.6666666666666652</v>
      </c>
    </row>
    <row r="5" spans="1:23" ht="16" thickBot="1" x14ac:dyDescent="0.25">
      <c r="A5" s="27">
        <f t="shared" ref="A5:A23" si="0">0.00047194745*B5</f>
        <v>1.8255258555123039E-3</v>
      </c>
      <c r="B5" s="28">
        <v>3.8680701750000002</v>
      </c>
      <c r="C5" s="28">
        <v>167.1039858</v>
      </c>
      <c r="D5" s="27"/>
      <c r="E5" s="27" t="s">
        <v>10</v>
      </c>
      <c r="F5" s="27">
        <v>7</v>
      </c>
      <c r="G5" s="27" cm="1">
        <f t="array" ref="G5">TREND(C4:C23,B4:B23,F5)</f>
        <v>150.75286326351966</v>
      </c>
      <c r="H5" s="27" t="s">
        <v>9</v>
      </c>
      <c r="I5" s="27">
        <f t="shared" ref="I5:I23" si="1">FORECAST(B5,$C$4:$C$23,$B$4:$B$23)</f>
        <v>164.18882222469301</v>
      </c>
      <c r="J5" s="27">
        <f>B5*$J$4+$K$4</f>
        <v>164.18882222469301</v>
      </c>
      <c r="K5" s="27"/>
      <c r="L5" s="27">
        <v>2</v>
      </c>
      <c r="M5" s="27">
        <f t="shared" ref="M5:M23" si="2">L5*$S$4/3+10.7</f>
        <v>10.95</v>
      </c>
      <c r="N5" s="27">
        <f t="shared" ref="N5:N23" si="3">L5*$S$4/7.5+2.5</f>
        <v>2.6</v>
      </c>
      <c r="O5" s="27">
        <f t="shared" ref="O5:O22" si="4">(C5*9.80665)*(B5/2119)</f>
        <v>2.9913750860649513</v>
      </c>
      <c r="P5" s="27">
        <f t="shared" ref="P5:P23" si="5">M5*N5</f>
        <v>28.47</v>
      </c>
      <c r="Q5" s="27">
        <f t="shared" ref="Q5:Q23" si="6">(O5)/(P5)</f>
        <v>0.10507113052563932</v>
      </c>
      <c r="S5" t="s">
        <v>24</v>
      </c>
      <c r="T5" t="s">
        <v>25</v>
      </c>
    </row>
    <row r="6" spans="1:23" ht="16" thickBot="1" x14ac:dyDescent="0.25">
      <c r="A6">
        <f t="shared" si="0"/>
        <v>3.0542451815103351E-3</v>
      </c>
      <c r="B6" s="24">
        <v>6.4715789470000002</v>
      </c>
      <c r="C6" s="24">
        <v>152.33235809999999</v>
      </c>
      <c r="I6">
        <f t="shared" si="1"/>
        <v>153.01978620848953</v>
      </c>
      <c r="J6">
        <f>B6*$J$4+$K$4</f>
        <v>153.01978620848953</v>
      </c>
      <c r="L6">
        <v>3</v>
      </c>
      <c r="M6">
        <f t="shared" si="2"/>
        <v>11.074999999999999</v>
      </c>
      <c r="N6">
        <f t="shared" si="3"/>
        <v>2.65</v>
      </c>
      <c r="O6">
        <f t="shared" si="4"/>
        <v>4.5623871709795667</v>
      </c>
      <c r="P6">
        <f t="shared" si="5"/>
        <v>29.348749999999995</v>
      </c>
      <c r="Q6">
        <f t="shared" si="6"/>
        <v>0.15545422448927357</v>
      </c>
      <c r="S6">
        <f>INTERCEPT(M1:M2,N1:N2)</f>
        <v>3.8666666666666725</v>
      </c>
      <c r="T6">
        <f>INTERCEPT(N1:N2,M1:M2)</f>
        <v>-1.450000000000002</v>
      </c>
    </row>
    <row r="7" spans="1:23" ht="16" thickBot="1" x14ac:dyDescent="0.25">
      <c r="A7">
        <f t="shared" si="0"/>
        <v>4.3882833070009843E-3</v>
      </c>
      <c r="B7" s="24">
        <v>9.2982456140000007</v>
      </c>
      <c r="C7" s="24">
        <v>136.26821910000001</v>
      </c>
      <c r="I7">
        <f t="shared" si="1"/>
        <v>140.89340424693694</v>
      </c>
      <c r="J7">
        <f>B7*$J$4+$K$4</f>
        <v>140.89340424693694</v>
      </c>
      <c r="L7">
        <v>4</v>
      </c>
      <c r="M7">
        <f t="shared" si="2"/>
        <v>11.2</v>
      </c>
      <c r="N7">
        <f t="shared" si="3"/>
        <v>2.7</v>
      </c>
      <c r="O7">
        <f t="shared" si="4"/>
        <v>5.8638832231435334</v>
      </c>
      <c r="P7">
        <f t="shared" si="5"/>
        <v>30.24</v>
      </c>
      <c r="Q7">
        <f t="shared" si="6"/>
        <v>0.19391148224680999</v>
      </c>
    </row>
    <row r="8" spans="1:23" ht="16" thickBot="1" x14ac:dyDescent="0.25">
      <c r="A8" s="4">
        <f t="shared" si="0"/>
        <v>5.6170026348868057E-3</v>
      </c>
      <c r="B8" s="25">
        <v>11.901754390000001</v>
      </c>
      <c r="C8" s="25">
        <v>121.12731220000001</v>
      </c>
      <c r="D8" s="4"/>
      <c r="E8" s="4"/>
      <c r="F8" s="4"/>
      <c r="G8" s="4"/>
      <c r="H8" s="4"/>
      <c r="I8" s="4">
        <f t="shared" si="1"/>
        <v>129.72436821357351</v>
      </c>
      <c r="J8" s="4"/>
      <c r="K8" s="4"/>
      <c r="L8" s="4">
        <v>5</v>
      </c>
      <c r="M8" s="4">
        <f t="shared" si="2"/>
        <v>11.324999999999999</v>
      </c>
      <c r="N8" s="4">
        <f t="shared" si="3"/>
        <v>2.75</v>
      </c>
      <c r="O8" s="4">
        <f t="shared" si="4"/>
        <v>6.6717963739092161</v>
      </c>
      <c r="P8" s="4">
        <f t="shared" si="5"/>
        <v>31.143749999999997</v>
      </c>
      <c r="Q8" s="4">
        <f t="shared" si="6"/>
        <v>0.21422585186142379</v>
      </c>
    </row>
    <row r="9" spans="1:23" ht="16" thickBot="1" x14ac:dyDescent="0.25">
      <c r="A9">
        <f t="shared" si="0"/>
        <v>6.5648739706020516E-3</v>
      </c>
      <c r="B9" s="24">
        <v>13.910179980000001</v>
      </c>
      <c r="C9" s="24">
        <v>111.34111249999999</v>
      </c>
      <c r="I9">
        <f t="shared" si="1"/>
        <v>121.10823525031009</v>
      </c>
      <c r="L9">
        <v>6</v>
      </c>
      <c r="M9">
        <f t="shared" si="2"/>
        <v>11.45</v>
      </c>
      <c r="N9">
        <f t="shared" si="3"/>
        <v>2.8000000000000003</v>
      </c>
      <c r="O9">
        <f t="shared" si="4"/>
        <v>7.1676703685007137</v>
      </c>
      <c r="P9">
        <f t="shared" si="5"/>
        <v>32.06</v>
      </c>
      <c r="Q9">
        <f t="shared" si="6"/>
        <v>0.22357050432004719</v>
      </c>
    </row>
    <row r="10" spans="1:23" ht="16" thickBot="1" x14ac:dyDescent="0.25">
      <c r="A10">
        <f t="shared" si="0"/>
        <v>7.1616783560590576E-3</v>
      </c>
      <c r="B10" s="24">
        <v>15.17473684</v>
      </c>
      <c r="C10" s="24">
        <v>106.17103349999999</v>
      </c>
      <c r="I10">
        <f t="shared" si="1"/>
        <v>115.68329439135255</v>
      </c>
      <c r="L10">
        <v>7</v>
      </c>
      <c r="M10">
        <f t="shared" si="2"/>
        <v>11.574999999999999</v>
      </c>
      <c r="N10">
        <f t="shared" si="3"/>
        <v>2.85</v>
      </c>
      <c r="O10">
        <f t="shared" si="4"/>
        <v>7.4561894132070021</v>
      </c>
      <c r="P10" s="4">
        <f t="shared" si="5"/>
        <v>32.988749999999996</v>
      </c>
      <c r="Q10">
        <f t="shared" si="6"/>
        <v>0.22602218675175637</v>
      </c>
    </row>
    <row r="11" spans="1:23" ht="16" thickBot="1" x14ac:dyDescent="0.25">
      <c r="A11">
        <f t="shared" si="0"/>
        <v>7.6882723558818851E-3</v>
      </c>
      <c r="B11" s="24">
        <v>16.290526320000001</v>
      </c>
      <c r="C11" s="24">
        <v>102.1088488</v>
      </c>
      <c r="I11">
        <f t="shared" si="1"/>
        <v>110.89656464315681</v>
      </c>
      <c r="L11">
        <v>8</v>
      </c>
      <c r="M11">
        <f t="shared" si="2"/>
        <v>11.7</v>
      </c>
      <c r="N11">
        <f t="shared" si="3"/>
        <v>2.9000000000000004</v>
      </c>
      <c r="O11">
        <f>(C11*9.80665)*(B11/2119)</f>
        <v>7.6981827120565391</v>
      </c>
      <c r="P11">
        <f t="shared" si="5"/>
        <v>33.93</v>
      </c>
      <c r="Q11">
        <f t="shared" si="6"/>
        <v>0.22688425322889888</v>
      </c>
    </row>
    <row r="12" spans="1:23" ht="16" thickBot="1" x14ac:dyDescent="0.25">
      <c r="A12">
        <f t="shared" si="0"/>
        <v>8.3903976811131945E-3</v>
      </c>
      <c r="B12" s="24">
        <v>17.778245609999999</v>
      </c>
      <c r="C12" s="24">
        <v>100.4470413</v>
      </c>
      <c r="I12">
        <f t="shared" si="1"/>
        <v>104.51425838372909</v>
      </c>
      <c r="L12">
        <v>9</v>
      </c>
      <c r="M12">
        <f t="shared" si="2"/>
        <v>11.824999999999999</v>
      </c>
      <c r="N12">
        <f t="shared" si="3"/>
        <v>2.95</v>
      </c>
      <c r="O12">
        <f t="shared" si="4"/>
        <v>8.2644845026067184</v>
      </c>
      <c r="P12">
        <f t="shared" si="5"/>
        <v>34.883749999999999</v>
      </c>
      <c r="Q12">
        <f t="shared" si="6"/>
        <v>0.23691502497887179</v>
      </c>
    </row>
    <row r="13" spans="1:23" ht="16" thickBot="1" x14ac:dyDescent="0.25">
      <c r="A13">
        <f t="shared" si="0"/>
        <v>9.1978439555577586E-3</v>
      </c>
      <c r="B13" s="24">
        <v>19.48912735</v>
      </c>
      <c r="C13" s="24">
        <v>99.893105439999999</v>
      </c>
      <c r="I13">
        <f t="shared" si="1"/>
        <v>97.174586638031244</v>
      </c>
      <c r="L13">
        <v>10</v>
      </c>
      <c r="M13">
        <f t="shared" si="2"/>
        <v>11.95</v>
      </c>
      <c r="N13">
        <f t="shared" si="3"/>
        <v>3</v>
      </c>
      <c r="O13">
        <f t="shared" si="4"/>
        <v>9.0098513724749605</v>
      </c>
      <c r="P13">
        <f t="shared" si="5"/>
        <v>35.849999999999994</v>
      </c>
      <c r="Q13">
        <f t="shared" si="6"/>
        <v>0.2513208193158985</v>
      </c>
    </row>
    <row r="14" spans="1:23" ht="16" thickBot="1" x14ac:dyDescent="0.25">
      <c r="A14">
        <f t="shared" si="0"/>
        <v>9.89996714286712E-3</v>
      </c>
      <c r="B14" s="24">
        <v>20.97684211</v>
      </c>
      <c r="C14" s="24">
        <v>98.969867789999995</v>
      </c>
      <c r="I14">
        <f t="shared" si="1"/>
        <v>90.792299812274592</v>
      </c>
      <c r="L14">
        <v>11</v>
      </c>
      <c r="M14">
        <f t="shared" si="2"/>
        <v>12.074999999999999</v>
      </c>
      <c r="N14">
        <f t="shared" si="3"/>
        <v>3.0500000000000003</v>
      </c>
      <c r="O14">
        <f t="shared" si="4"/>
        <v>9.6079961044873592</v>
      </c>
      <c r="P14">
        <f t="shared" si="5"/>
        <v>36.828749999999999</v>
      </c>
      <c r="Q14">
        <f t="shared" si="6"/>
        <v>0.26088303579370353</v>
      </c>
    </row>
    <row r="15" spans="1:23" ht="16" thickBot="1" x14ac:dyDescent="0.25">
      <c r="A15">
        <f t="shared" si="0"/>
        <v>1.049677367096555E-2</v>
      </c>
      <c r="B15" s="25">
        <v>22.241403510000001</v>
      </c>
      <c r="C15" s="25">
        <v>96.569490479999999</v>
      </c>
      <c r="D15" s="4"/>
      <c r="E15" s="4"/>
      <c r="F15" s="4"/>
      <c r="G15" s="4"/>
      <c r="H15" s="4"/>
      <c r="I15" s="4">
        <f t="shared" si="1"/>
        <v>85.367339476746025</v>
      </c>
      <c r="J15" s="4"/>
      <c r="K15" s="4"/>
      <c r="L15" s="4">
        <v>12</v>
      </c>
      <c r="M15" s="4">
        <f t="shared" si="2"/>
        <v>12.2</v>
      </c>
      <c r="N15" s="4">
        <f t="shared" si="3"/>
        <v>3.1</v>
      </c>
      <c r="O15" s="4">
        <f>(C15*9.80665)*(B15/2119)</f>
        <v>9.9401250528474474</v>
      </c>
      <c r="P15" s="4">
        <f t="shared" si="5"/>
        <v>37.82</v>
      </c>
      <c r="Q15" s="4">
        <f t="shared" si="6"/>
        <v>0.26282720922388808</v>
      </c>
    </row>
    <row r="16" spans="1:23" ht="16" thickBot="1" x14ac:dyDescent="0.25">
      <c r="A16" s="27">
        <f t="shared" si="0"/>
        <v>1.116379273205906E-2</v>
      </c>
      <c r="B16" s="28">
        <v>23.654736840000002</v>
      </c>
      <c r="C16" s="28">
        <v>92.691939689999998</v>
      </c>
      <c r="D16" s="27"/>
      <c r="E16" s="27"/>
      <c r="F16" s="27"/>
      <c r="G16" s="27"/>
      <c r="H16" s="27"/>
      <c r="I16" s="27">
        <f t="shared" si="1"/>
        <v>79.304148510984703</v>
      </c>
      <c r="J16" s="27"/>
      <c r="K16" s="27"/>
      <c r="L16" s="27">
        <v>13</v>
      </c>
      <c r="M16" s="27">
        <f t="shared" si="2"/>
        <v>12.324999999999999</v>
      </c>
      <c r="N16" s="27">
        <f t="shared" si="3"/>
        <v>3.1500000000000004</v>
      </c>
      <c r="O16" s="27">
        <f>(C16*9.80665)*(B16/2119)</f>
        <v>10.147283874624582</v>
      </c>
      <c r="P16" s="27">
        <f t="shared" si="5"/>
        <v>38.823750000000004</v>
      </c>
      <c r="Q16" s="27">
        <f t="shared" si="6"/>
        <v>0.2613679480891099</v>
      </c>
    </row>
    <row r="17" spans="1:22" ht="16" thickBot="1" x14ac:dyDescent="0.25">
      <c r="A17">
        <f t="shared" si="0"/>
        <v>1.2638255924955707E-2</v>
      </c>
      <c r="B17" s="24">
        <v>26.778947370000001</v>
      </c>
      <c r="C17" s="24">
        <v>75.889219600000004</v>
      </c>
      <c r="I17">
        <f t="shared" si="1"/>
        <v>65.901305276096579</v>
      </c>
      <c r="L17">
        <v>14</v>
      </c>
      <c r="M17">
        <f t="shared" si="2"/>
        <v>12.45</v>
      </c>
      <c r="N17">
        <f t="shared" si="3"/>
        <v>3.2</v>
      </c>
      <c r="O17">
        <f t="shared" si="4"/>
        <v>9.4050976143893994</v>
      </c>
      <c r="P17">
        <f t="shared" si="5"/>
        <v>39.840000000000003</v>
      </c>
      <c r="Q17">
        <f t="shared" si="6"/>
        <v>0.23607172726881021</v>
      </c>
    </row>
    <row r="18" spans="1:22" ht="16" thickBot="1" x14ac:dyDescent="0.25">
      <c r="A18">
        <f t="shared" si="0"/>
        <v>1.3199958331557758E-2</v>
      </c>
      <c r="B18" s="24">
        <v>27.969127350000001</v>
      </c>
      <c r="C18" s="24">
        <v>70.165204779999996</v>
      </c>
      <c r="I18">
        <f t="shared" si="1"/>
        <v>60.795440757663414</v>
      </c>
      <c r="L18">
        <v>15</v>
      </c>
      <c r="M18">
        <f t="shared" si="2"/>
        <v>12.574999999999999</v>
      </c>
      <c r="N18">
        <f t="shared" si="3"/>
        <v>3.25</v>
      </c>
      <c r="O18">
        <f t="shared" si="4"/>
        <v>9.0821868460097956</v>
      </c>
      <c r="P18">
        <f t="shared" si="5"/>
        <v>40.868749999999999</v>
      </c>
      <c r="Q18">
        <f t="shared" si="6"/>
        <v>0.22222815344266209</v>
      </c>
    </row>
    <row r="19" spans="1:22" ht="16" thickBot="1" x14ac:dyDescent="0.25">
      <c r="A19">
        <f t="shared" si="0"/>
        <v>1.4007400316E-2</v>
      </c>
      <c r="B19" s="24">
        <v>29.68</v>
      </c>
      <c r="C19" s="24">
        <v>60.009725879999998</v>
      </c>
      <c r="I19">
        <f t="shared" si="1"/>
        <v>53.45580800800758</v>
      </c>
      <c r="L19">
        <v>16</v>
      </c>
      <c r="M19">
        <f t="shared" si="2"/>
        <v>12.7</v>
      </c>
      <c r="N19">
        <f t="shared" si="3"/>
        <v>3.3000000000000003</v>
      </c>
      <c r="O19">
        <f t="shared" si="4"/>
        <v>8.2428094138634762</v>
      </c>
      <c r="P19">
        <f t="shared" si="5"/>
        <v>41.910000000000004</v>
      </c>
      <c r="Q19">
        <f t="shared" si="6"/>
        <v>0.19667882161449476</v>
      </c>
    </row>
    <row r="20" spans="1:22" ht="16" thickBot="1" x14ac:dyDescent="0.25">
      <c r="A20">
        <f t="shared" si="0"/>
        <v>1.5025482042068902E-2</v>
      </c>
      <c r="B20" s="24">
        <v>31.837192980000001</v>
      </c>
      <c r="C20" s="24">
        <v>44.684156729999998</v>
      </c>
      <c r="I20">
        <f t="shared" si="1"/>
        <v>44.201463891082398</v>
      </c>
      <c r="L20">
        <v>17</v>
      </c>
      <c r="M20">
        <f t="shared" si="2"/>
        <v>12.824999999999999</v>
      </c>
      <c r="N20">
        <f t="shared" si="3"/>
        <v>3.35</v>
      </c>
      <c r="O20">
        <f t="shared" si="4"/>
        <v>6.5838216120471147</v>
      </c>
      <c r="P20">
        <f t="shared" si="5"/>
        <v>42.963749999999997</v>
      </c>
      <c r="Q20">
        <f t="shared" si="6"/>
        <v>0.15324131650628994</v>
      </c>
    </row>
    <row r="21" spans="1:22" ht="16" thickBot="1" x14ac:dyDescent="0.25">
      <c r="A21">
        <f t="shared" si="0"/>
        <v>1.6008457504000002E-2</v>
      </c>
      <c r="B21" s="24">
        <v>33.92</v>
      </c>
      <c r="C21" s="24">
        <v>30.097191209999998</v>
      </c>
      <c r="I21">
        <f t="shared" si="1"/>
        <v>35.266235067823658</v>
      </c>
      <c r="L21">
        <v>18</v>
      </c>
      <c r="M21">
        <f t="shared" si="2"/>
        <v>12.95</v>
      </c>
      <c r="N21">
        <f t="shared" si="3"/>
        <v>3.4000000000000004</v>
      </c>
      <c r="O21">
        <f t="shared" si="4"/>
        <v>4.7246705410524861</v>
      </c>
      <c r="P21">
        <f t="shared" si="5"/>
        <v>44.03</v>
      </c>
      <c r="Q21">
        <f t="shared" si="6"/>
        <v>0.10730571294691088</v>
      </c>
    </row>
    <row r="22" spans="1:22" ht="16" thickBot="1" x14ac:dyDescent="0.25">
      <c r="A22">
        <f t="shared" si="0"/>
        <v>1.6499945234965549E-2</v>
      </c>
      <c r="B22" s="24">
        <v>34.961403509999997</v>
      </c>
      <c r="C22" s="24">
        <v>21.788153810000001</v>
      </c>
      <c r="I22">
        <f t="shared" si="1"/>
        <v>30.798620656194288</v>
      </c>
      <c r="L22">
        <v>19</v>
      </c>
      <c r="M22">
        <f t="shared" si="2"/>
        <v>13.074999999999999</v>
      </c>
      <c r="N22">
        <f t="shared" si="3"/>
        <v>3.45</v>
      </c>
      <c r="O22">
        <f t="shared" si="4"/>
        <v>3.5253237772450734</v>
      </c>
      <c r="P22">
        <f t="shared" si="5"/>
        <v>45.108750000000001</v>
      </c>
      <c r="Q22">
        <f t="shared" si="6"/>
        <v>7.8151661867045155E-2</v>
      </c>
    </row>
    <row r="23" spans="1:22" ht="16" thickBot="1" x14ac:dyDescent="0.25">
      <c r="A23" s="27">
        <f t="shared" si="0"/>
        <v>1.6956326697073823E-2</v>
      </c>
      <c r="B23" s="28">
        <v>35.928421049999997</v>
      </c>
      <c r="C23" s="28">
        <v>15.140923880000001</v>
      </c>
      <c r="D23" s="27"/>
      <c r="E23" s="27"/>
      <c r="F23" s="27"/>
      <c r="G23" s="27"/>
      <c r="H23" s="27"/>
      <c r="I23" s="27">
        <f t="shared" si="1"/>
        <v>26.650121581131259</v>
      </c>
      <c r="J23" s="27"/>
      <c r="K23" s="27"/>
      <c r="L23" s="27">
        <v>20</v>
      </c>
      <c r="M23" s="27">
        <f t="shared" si="2"/>
        <v>13.2</v>
      </c>
      <c r="N23" s="27">
        <f t="shared" si="3"/>
        <v>3.5</v>
      </c>
      <c r="O23" s="27">
        <f>(C23*9.80665)*(B23/2119)</f>
        <v>2.5175623005728687</v>
      </c>
      <c r="P23" s="27">
        <f t="shared" si="5"/>
        <v>46.199999999999996</v>
      </c>
      <c r="Q23" s="27">
        <f t="shared" si="6"/>
        <v>5.4492690488590234E-2</v>
      </c>
    </row>
    <row r="24" spans="1:22" x14ac:dyDescent="0.2">
      <c r="B24" s="3"/>
      <c r="C24" s="3"/>
    </row>
    <row r="25" spans="1:22" x14ac:dyDescent="0.2">
      <c r="B25" s="3"/>
      <c r="C25" s="3"/>
    </row>
    <row r="26" spans="1:22" ht="32" x14ac:dyDescent="0.2">
      <c r="B26" s="3"/>
      <c r="C26" s="3"/>
      <c r="S26" s="38" t="s">
        <v>51</v>
      </c>
      <c r="V26" t="s">
        <v>50</v>
      </c>
    </row>
    <row r="27" spans="1:22" x14ac:dyDescent="0.2">
      <c r="B27" s="3"/>
      <c r="C27" s="3"/>
      <c r="S27" t="s">
        <v>43</v>
      </c>
      <c r="T27" t="s">
        <v>47</v>
      </c>
      <c r="U27" t="s">
        <v>48</v>
      </c>
      <c r="V27" t="s">
        <v>49</v>
      </c>
    </row>
    <row r="28" spans="1:22" ht="16" thickBot="1" x14ac:dyDescent="0.25">
      <c r="B28" s="3"/>
      <c r="C28" s="3"/>
      <c r="R28" s="13" t="s">
        <v>42</v>
      </c>
      <c r="S28" s="35" t="s">
        <v>41</v>
      </c>
      <c r="T28" s="36" t="s">
        <v>44</v>
      </c>
      <c r="U28" s="36" t="s">
        <v>44</v>
      </c>
      <c r="V28" s="37" t="s">
        <v>45</v>
      </c>
    </row>
    <row r="29" spans="1:22" ht="16" thickBot="1" x14ac:dyDescent="0.25">
      <c r="A29">
        <v>5.6170026348868047E-4</v>
      </c>
      <c r="B29" s="24">
        <v>182.61418620000001</v>
      </c>
      <c r="C29" s="3"/>
      <c r="R29" s="32">
        <v>45</v>
      </c>
      <c r="S29" s="32">
        <v>48</v>
      </c>
      <c r="T29" s="30">
        <v>66</v>
      </c>
      <c r="U29" s="31"/>
      <c r="V29" s="32">
        <v>24.85</v>
      </c>
    </row>
    <row r="30" spans="1:22" ht="16" thickBot="1" x14ac:dyDescent="0.25">
      <c r="A30">
        <v>1.8255258555123039E-3</v>
      </c>
      <c r="B30" s="24">
        <v>167.1039858</v>
      </c>
      <c r="C30" s="3"/>
      <c r="R30" s="32">
        <v>35</v>
      </c>
      <c r="S30" s="32">
        <v>49</v>
      </c>
      <c r="T30" s="30">
        <v>45</v>
      </c>
      <c r="U30" s="31"/>
      <c r="V30" s="32" t="s">
        <v>46</v>
      </c>
    </row>
    <row r="31" spans="1:22" ht="16" thickBot="1" x14ac:dyDescent="0.25">
      <c r="A31">
        <v>3.0542451815103351E-3</v>
      </c>
      <c r="B31" s="24">
        <v>152.33235809999999</v>
      </c>
      <c r="C31" s="3"/>
      <c r="R31" s="32">
        <v>25</v>
      </c>
      <c r="S31" s="32">
        <v>50</v>
      </c>
      <c r="T31" s="30">
        <v>39</v>
      </c>
      <c r="U31" s="31"/>
      <c r="V31" s="32">
        <v>25.9</v>
      </c>
    </row>
    <row r="32" spans="1:22" ht="16" thickBot="1" x14ac:dyDescent="0.25">
      <c r="A32">
        <v>4.3882833070009843E-3</v>
      </c>
      <c r="B32" s="24">
        <v>136.26821910000001</v>
      </c>
      <c r="C32" s="3"/>
      <c r="R32" s="32">
        <v>20</v>
      </c>
      <c r="S32" s="32">
        <v>50.47</v>
      </c>
      <c r="T32" s="30">
        <v>36</v>
      </c>
      <c r="U32" s="31"/>
      <c r="V32" s="32" t="s">
        <v>46</v>
      </c>
    </row>
    <row r="33" spans="1:22" ht="16" thickBot="1" x14ac:dyDescent="0.25">
      <c r="A33">
        <v>5.6170026348868057E-3</v>
      </c>
      <c r="B33" s="24">
        <v>121.12731220000001</v>
      </c>
      <c r="C33" s="3"/>
      <c r="R33" s="32">
        <v>15</v>
      </c>
      <c r="S33" s="34">
        <v>51.4</v>
      </c>
      <c r="T33" s="39">
        <v>33</v>
      </c>
      <c r="U33" s="31">
        <v>7</v>
      </c>
      <c r="V33" s="32" t="s">
        <v>46</v>
      </c>
    </row>
    <row r="34" spans="1:22" ht="16" thickBot="1" x14ac:dyDescent="0.25">
      <c r="A34">
        <v>6.5648739706020516E-3</v>
      </c>
      <c r="B34" s="24">
        <v>111.34111249999999</v>
      </c>
      <c r="C34" s="3"/>
      <c r="R34" s="32">
        <v>10</v>
      </c>
      <c r="S34" s="32">
        <v>53.25</v>
      </c>
      <c r="T34" s="30">
        <v>30</v>
      </c>
      <c r="U34" s="31"/>
      <c r="V34" s="32" t="s">
        <v>46</v>
      </c>
    </row>
    <row r="35" spans="1:22" ht="16" thickBot="1" x14ac:dyDescent="0.25">
      <c r="A35">
        <v>7.1616783560590576E-3</v>
      </c>
      <c r="B35" s="24">
        <v>106.17103349999999</v>
      </c>
      <c r="C35" s="3"/>
      <c r="R35" s="32">
        <v>5</v>
      </c>
      <c r="S35" s="32">
        <v>59</v>
      </c>
      <c r="T35" s="30">
        <v>29</v>
      </c>
      <c r="U35" s="31"/>
      <c r="V35" s="32">
        <v>35.1</v>
      </c>
    </row>
    <row r="36" spans="1:22" ht="16" thickBot="1" x14ac:dyDescent="0.25">
      <c r="A36">
        <v>7.6882723558818851E-3</v>
      </c>
      <c r="B36" s="24">
        <v>102.1088488</v>
      </c>
      <c r="C36" s="3"/>
      <c r="R36" s="32">
        <v>2</v>
      </c>
      <c r="S36" s="32" t="s">
        <v>46</v>
      </c>
      <c r="T36" s="30">
        <v>28.5</v>
      </c>
      <c r="U36" s="40">
        <v>5.5</v>
      </c>
      <c r="V36" s="34">
        <v>51.65</v>
      </c>
    </row>
    <row r="37" spans="1:22" ht="16" thickBot="1" x14ac:dyDescent="0.25">
      <c r="A37">
        <v>8.3903976811131945E-3</v>
      </c>
      <c r="B37" s="24">
        <v>100.4470413</v>
      </c>
      <c r="C37" s="3"/>
      <c r="R37" s="33">
        <v>1</v>
      </c>
      <c r="S37" s="33" t="s">
        <v>46</v>
      </c>
      <c r="T37" s="10">
        <v>27</v>
      </c>
      <c r="U37" s="12"/>
      <c r="V37" s="33">
        <v>75.400000000000006</v>
      </c>
    </row>
    <row r="38" spans="1:22" ht="16" thickBot="1" x14ac:dyDescent="0.25">
      <c r="A38">
        <v>9.1978439555577586E-3</v>
      </c>
      <c r="B38" s="24">
        <v>99.893105439999999</v>
      </c>
      <c r="C38" s="3"/>
    </row>
    <row r="39" spans="1:22" ht="16" thickBot="1" x14ac:dyDescent="0.25">
      <c r="A39">
        <v>9.89996714286712E-3</v>
      </c>
      <c r="B39" s="24">
        <v>98.969867789999995</v>
      </c>
      <c r="C39" s="3"/>
    </row>
    <row r="40" spans="1:22" ht="16" thickBot="1" x14ac:dyDescent="0.25">
      <c r="A40">
        <v>1.049677367096555E-2</v>
      </c>
      <c r="B40" s="25">
        <v>96.569490479999999</v>
      </c>
      <c r="C40" s="3"/>
    </row>
    <row r="41" spans="1:22" ht="16" thickBot="1" x14ac:dyDescent="0.25">
      <c r="A41">
        <v>1.116379273205906E-2</v>
      </c>
      <c r="B41" s="24">
        <v>92.691939689999998</v>
      </c>
      <c r="C41" s="3"/>
    </row>
    <row r="42" spans="1:22" ht="16" thickBot="1" x14ac:dyDescent="0.25">
      <c r="A42">
        <v>1.2638255924955707E-2</v>
      </c>
      <c r="B42" s="24">
        <v>75.889219600000004</v>
      </c>
      <c r="C42" s="3"/>
    </row>
    <row r="43" spans="1:22" ht="16" thickBot="1" x14ac:dyDescent="0.25">
      <c r="A43">
        <v>1.3199958331557758E-2</v>
      </c>
      <c r="B43" s="24">
        <v>70.165204779999996</v>
      </c>
      <c r="C43" s="3"/>
    </row>
    <row r="44" spans="1:22" ht="16" thickBot="1" x14ac:dyDescent="0.25">
      <c r="A44">
        <v>1.4007400316E-2</v>
      </c>
      <c r="B44" s="24">
        <v>60.009725879999998</v>
      </c>
      <c r="C44" s="3"/>
    </row>
    <row r="45" spans="1:22" ht="16" thickBot="1" x14ac:dyDescent="0.25">
      <c r="A45">
        <v>1.5025482042068902E-2</v>
      </c>
      <c r="B45" s="24">
        <v>44.684156729999998</v>
      </c>
      <c r="C45" s="3"/>
    </row>
    <row r="46" spans="1:22" ht="16" thickBot="1" x14ac:dyDescent="0.25">
      <c r="A46">
        <v>1.6008457504000002E-2</v>
      </c>
      <c r="B46" s="24">
        <v>30.097191209999998</v>
      </c>
      <c r="C46" s="3"/>
    </row>
    <row r="47" spans="1:22" ht="16" thickBot="1" x14ac:dyDescent="0.25">
      <c r="A47">
        <v>1.6499945234965549E-2</v>
      </c>
      <c r="B47" s="24">
        <v>21.788153810000001</v>
      </c>
      <c r="C47" s="3"/>
    </row>
    <row r="48" spans="1:22" ht="16" thickBot="1" x14ac:dyDescent="0.25">
      <c r="A48">
        <v>1.6956326697073823E-2</v>
      </c>
      <c r="B48" s="24">
        <v>15.140923880000001</v>
      </c>
      <c r="C48" s="3"/>
    </row>
    <row r="49" spans="2:3" x14ac:dyDescent="0.2">
      <c r="B49" s="3"/>
      <c r="C49" s="3"/>
    </row>
    <row r="50" spans="2:3" x14ac:dyDescent="0.2">
      <c r="B50" s="3"/>
      <c r="C50" s="3"/>
    </row>
    <row r="51" spans="2:3" x14ac:dyDescent="0.2">
      <c r="B51" s="3"/>
      <c r="C51" s="3"/>
    </row>
    <row r="52" spans="2:3" x14ac:dyDescent="0.2">
      <c r="B52" s="3"/>
      <c r="C52" s="3"/>
    </row>
    <row r="53" spans="2:3" x14ac:dyDescent="0.2">
      <c r="B53" s="3"/>
      <c r="C53" s="3"/>
    </row>
    <row r="54" spans="2:3" x14ac:dyDescent="0.2">
      <c r="B54" s="3"/>
      <c r="C54" s="3"/>
    </row>
    <row r="55" spans="2:3" x14ac:dyDescent="0.2">
      <c r="B55" s="3"/>
      <c r="C55" s="3"/>
    </row>
    <row r="56" spans="2:3" x14ac:dyDescent="0.2">
      <c r="B56" s="3"/>
      <c r="C56" s="3"/>
    </row>
    <row r="57" spans="2:3" x14ac:dyDescent="0.2">
      <c r="B57" s="3"/>
      <c r="C57" s="3"/>
    </row>
    <row r="58" spans="2:3" x14ac:dyDescent="0.2">
      <c r="B58" s="3"/>
      <c r="C58" s="3"/>
    </row>
    <row r="59" spans="2:3" x14ac:dyDescent="0.2">
      <c r="B59" s="3"/>
      <c r="C59" s="3"/>
    </row>
    <row r="60" spans="2:3" x14ac:dyDescent="0.2">
      <c r="B60" s="3"/>
      <c r="C60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560F7-D351-4593-9B76-2365372C5CA7}">
  <dimension ref="A1:V60"/>
  <sheetViews>
    <sheetView workbookViewId="0">
      <selection activeCell="F2" sqref="F2"/>
    </sheetView>
  </sheetViews>
  <sheetFormatPr baseColWidth="10" defaultColWidth="8.83203125" defaultRowHeight="15" x14ac:dyDescent="0.2"/>
  <cols>
    <col min="1" max="1" width="19.1640625" customWidth="1"/>
    <col min="2" max="2" width="21.33203125" customWidth="1"/>
    <col min="18" max="19" width="11.1640625" bestFit="1" customWidth="1"/>
    <col min="21" max="21" width="14.33203125" customWidth="1"/>
  </cols>
  <sheetData>
    <row r="1" spans="1:22" x14ac:dyDescent="0.2">
      <c r="A1" t="s">
        <v>21</v>
      </c>
      <c r="L1">
        <v>10.8</v>
      </c>
      <c r="M1">
        <v>0.5</v>
      </c>
      <c r="P1" t="s">
        <v>20</v>
      </c>
      <c r="Q1" t="s">
        <v>19</v>
      </c>
    </row>
    <row r="2" spans="1:22" x14ac:dyDescent="0.2">
      <c r="L2">
        <v>13.2</v>
      </c>
      <c r="M2">
        <v>0.6</v>
      </c>
      <c r="P2" t="s">
        <v>15</v>
      </c>
      <c r="U2" t="s">
        <v>26</v>
      </c>
      <c r="V2" t="s">
        <v>27</v>
      </c>
    </row>
    <row r="3" spans="1:22" x14ac:dyDescent="0.2">
      <c r="A3" t="s">
        <v>4</v>
      </c>
      <c r="B3" t="s">
        <v>2</v>
      </c>
      <c r="I3" s="4"/>
      <c r="J3" s="4"/>
      <c r="L3" t="s">
        <v>16</v>
      </c>
      <c r="M3" t="s">
        <v>17</v>
      </c>
      <c r="N3" t="s">
        <v>28</v>
      </c>
      <c r="O3" t="s">
        <v>29</v>
      </c>
      <c r="P3" t="s">
        <v>14</v>
      </c>
      <c r="R3" t="s">
        <v>22</v>
      </c>
      <c r="S3" t="s">
        <v>23</v>
      </c>
      <c r="U3">
        <f>12*M1</f>
        <v>6</v>
      </c>
      <c r="V3">
        <f>P14</f>
        <v>0.12223080844350831</v>
      </c>
    </row>
    <row r="4" spans="1:22" x14ac:dyDescent="0.2">
      <c r="A4" s="3">
        <v>0.20825552825552399</v>
      </c>
      <c r="B4" s="3">
        <v>35.157432889799303</v>
      </c>
      <c r="I4" s="4"/>
      <c r="J4" s="4"/>
      <c r="L4">
        <f>10.8+2.4*A4/21.834</f>
        <v>10.82289151176208</v>
      </c>
      <c r="M4">
        <f>0.5+0.1*A4/21.834</f>
        <v>0.50095381299008668</v>
      </c>
      <c r="N4">
        <f>(B4*9.80665)*(A4/2119)</f>
        <v>3.3884681990048474E-2</v>
      </c>
      <c r="O4">
        <f>L4*M4</f>
        <v>5.421768770395258</v>
      </c>
      <c r="P4">
        <f>(N4)/(O4)</f>
        <v>6.2497467939006575E-3</v>
      </c>
      <c r="R4" s="5">
        <f>SLOPE(M1:M2, L1:L2)</f>
        <v>4.1666666666666685E-2</v>
      </c>
      <c r="S4" s="5">
        <f>SLOPE(L1:L2, M1:M2)</f>
        <v>23.999999999999993</v>
      </c>
    </row>
    <row r="5" spans="1:22" x14ac:dyDescent="0.2">
      <c r="A5" s="29">
        <v>1.8222390499630501</v>
      </c>
      <c r="B5" s="29">
        <v>31.737607816912998</v>
      </c>
      <c r="C5" s="27"/>
      <c r="D5" s="27"/>
      <c r="E5" s="27"/>
      <c r="F5" s="27"/>
      <c r="G5" s="27"/>
      <c r="H5" s="27"/>
      <c r="I5" s="27"/>
      <c r="J5" s="27"/>
      <c r="K5" s="27"/>
      <c r="L5">
        <f t="shared" ref="L5:L23" si="0">10.8+2.4*A5/21.834</f>
        <v>11.000301077214955</v>
      </c>
      <c r="M5">
        <f t="shared" ref="M5:M23" si="1">0.5+0.1*A5/21.834</f>
        <v>0.50834587821728983</v>
      </c>
      <c r="N5" s="27">
        <f t="shared" ref="N4:N23" si="2">(B5*9.80665)*(A5/2119)</f>
        <v>0.26765123847613964</v>
      </c>
      <c r="O5" s="27">
        <f t="shared" ref="O5:O23" si="3">L5*M5</f>
        <v>5.5919577117514354</v>
      </c>
      <c r="P5" s="27">
        <f t="shared" ref="P5:P23" si="4">(N5)/(O5)</f>
        <v>4.7863602028619355E-2</v>
      </c>
      <c r="R5" t="s">
        <v>24</v>
      </c>
      <c r="S5" t="s">
        <v>25</v>
      </c>
    </row>
    <row r="6" spans="1:22" x14ac:dyDescent="0.2">
      <c r="A6" s="3">
        <v>3.5403471580711598</v>
      </c>
      <c r="B6" s="3">
        <v>28.268221574344</v>
      </c>
      <c r="L6">
        <f t="shared" si="0"/>
        <v>11.189156049252121</v>
      </c>
      <c r="M6">
        <f t="shared" si="1"/>
        <v>0.51621483538550494</v>
      </c>
      <c r="N6">
        <f t="shared" si="2"/>
        <v>0.46316321048880904</v>
      </c>
      <c r="O6">
        <f t="shared" si="3"/>
        <v>5.7760083480674105</v>
      </c>
      <c r="P6">
        <f t="shared" si="4"/>
        <v>8.0187420546886573E-2</v>
      </c>
      <c r="R6">
        <f>INTERCEPT(L1:L2,M1:M2)</f>
        <v>-1.1999999999999975</v>
      </c>
      <c r="S6">
        <f>INTERCEPT(M1:M2,L1:L2)</f>
        <v>4.9999999999999822E-2</v>
      </c>
    </row>
    <row r="7" spans="1:22" x14ac:dyDescent="0.2">
      <c r="A7" s="3">
        <v>5.15432432432433</v>
      </c>
      <c r="B7" s="3">
        <v>24.997084548104901</v>
      </c>
      <c r="L7">
        <f t="shared" si="0"/>
        <v>11.366564916111496</v>
      </c>
      <c r="M7">
        <f t="shared" si="1"/>
        <v>0.52360687150464569</v>
      </c>
      <c r="N7">
        <f t="shared" si="2"/>
        <v>0.59628079260893474</v>
      </c>
      <c r="O7">
        <f t="shared" si="3"/>
        <v>5.9516114954796064</v>
      </c>
      <c r="P7">
        <f t="shared" si="4"/>
        <v>0.10018812435284535</v>
      </c>
    </row>
    <row r="8" spans="1:22" x14ac:dyDescent="0.2">
      <c r="A8" s="3">
        <v>6.2997297297297301</v>
      </c>
      <c r="B8" s="3">
        <v>22.816326530612201</v>
      </c>
      <c r="L8">
        <f t="shared" si="0"/>
        <v>11.492468230802938</v>
      </c>
      <c r="M8">
        <f t="shared" si="1"/>
        <v>0.52885284295012247</v>
      </c>
      <c r="N8">
        <f t="shared" si="2"/>
        <v>0.6652078416988404</v>
      </c>
      <c r="O8">
        <f t="shared" si="3"/>
        <v>6.0778244963740979</v>
      </c>
      <c r="P8">
        <f t="shared" si="4"/>
        <v>0.10944834654170903</v>
      </c>
    </row>
    <row r="9" spans="1:22" x14ac:dyDescent="0.2">
      <c r="A9" s="3">
        <v>7.4451351351351303</v>
      </c>
      <c r="B9" s="3">
        <v>20.685131195335199</v>
      </c>
      <c r="L9">
        <f t="shared" si="0"/>
        <v>11.618371545494382</v>
      </c>
      <c r="M9">
        <f t="shared" si="1"/>
        <v>0.53409881439559925</v>
      </c>
      <c r="N9">
        <f t="shared" si="2"/>
        <v>0.71272268753446999</v>
      </c>
      <c r="O9">
        <f t="shared" si="3"/>
        <v>6.2053584676561151</v>
      </c>
      <c r="P9">
        <f t="shared" si="4"/>
        <v>0.1148560057004538</v>
      </c>
    </row>
    <row r="10" spans="1:22" x14ac:dyDescent="0.2">
      <c r="A10" s="3">
        <v>10.495182447492001</v>
      </c>
      <c r="B10" s="3">
        <v>16.0878053361021</v>
      </c>
      <c r="L10">
        <f t="shared" si="0"/>
        <v>11.953633684802639</v>
      </c>
      <c r="M10">
        <f t="shared" si="1"/>
        <v>0.54806807020010995</v>
      </c>
      <c r="N10">
        <f t="shared" si="2"/>
        <v>0.78140559084089412</v>
      </c>
      <c r="O10">
        <f t="shared" si="3"/>
        <v>6.5514049455088124</v>
      </c>
      <c r="P10">
        <f t="shared" si="4"/>
        <v>0.11927297996997903</v>
      </c>
    </row>
    <row r="11" spans="1:22" x14ac:dyDescent="0.2">
      <c r="A11" s="3">
        <v>9.5406749633487706</v>
      </c>
      <c r="B11" s="3">
        <v>17.037756437127602</v>
      </c>
      <c r="L11">
        <f t="shared" si="0"/>
        <v>11.848713928370296</v>
      </c>
      <c r="M11">
        <f t="shared" si="1"/>
        <v>0.54369641368209565</v>
      </c>
      <c r="N11">
        <f t="shared" si="2"/>
        <v>0.75228295999967587</v>
      </c>
      <c r="O11">
        <f t="shared" si="3"/>
        <v>6.4421032696000253</v>
      </c>
      <c r="P11">
        <f t="shared" si="4"/>
        <v>0.11677598581035838</v>
      </c>
    </row>
    <row r="12" spans="1:22" x14ac:dyDescent="0.2">
      <c r="A12" s="3">
        <v>8.8898736837645291</v>
      </c>
      <c r="B12" s="3">
        <v>17.987713588305599</v>
      </c>
      <c r="L12">
        <f t="shared" si="0"/>
        <v>11.777177651416821</v>
      </c>
      <c r="M12">
        <f t="shared" si="1"/>
        <v>0.54071573547570084</v>
      </c>
      <c r="N12">
        <f t="shared" si="2"/>
        <v>0.74005035762236848</v>
      </c>
      <c r="O12">
        <f t="shared" si="3"/>
        <v>6.3681052756138339</v>
      </c>
      <c r="P12">
        <f t="shared" si="4"/>
        <v>0.11621201685473606</v>
      </c>
    </row>
    <row r="13" spans="1:22" x14ac:dyDescent="0.2">
      <c r="A13" s="3">
        <v>8.0221375850720094</v>
      </c>
      <c r="B13" s="3">
        <v>19.4332977297009</v>
      </c>
      <c r="L13">
        <f t="shared" si="0"/>
        <v>11.681795832379446</v>
      </c>
      <c r="M13">
        <f t="shared" si="1"/>
        <v>0.5367414930158102</v>
      </c>
      <c r="N13">
        <f t="shared" si="2"/>
        <v>0.72148337700821574</v>
      </c>
      <c r="O13">
        <f t="shared" si="3"/>
        <v>6.2701045361772136</v>
      </c>
      <c r="P13">
        <f t="shared" si="4"/>
        <v>0.115067200689463</v>
      </c>
    </row>
    <row r="14" spans="1:22" x14ac:dyDescent="0.2">
      <c r="A14" s="6">
        <v>11.666624750743701</v>
      </c>
      <c r="B14" s="6">
        <v>15.137849697462199</v>
      </c>
      <c r="C14" s="4"/>
      <c r="D14" s="4"/>
      <c r="E14" s="4"/>
      <c r="F14" s="4"/>
      <c r="G14" s="4"/>
      <c r="H14" s="4"/>
      <c r="I14" s="4"/>
      <c r="J14" s="4"/>
      <c r="K14" s="4"/>
      <c r="L14">
        <f t="shared" si="0"/>
        <v>12.082398983318901</v>
      </c>
      <c r="M14">
        <f t="shared" si="1"/>
        <v>0.55343329097162086</v>
      </c>
      <c r="N14" s="4">
        <f t="shared" si="2"/>
        <v>0.81733319384771397</v>
      </c>
      <c r="O14" s="4">
        <f t="shared" si="3"/>
        <v>6.686801832170346</v>
      </c>
      <c r="P14" s="4">
        <f t="shared" si="4"/>
        <v>0.12223080844350831</v>
      </c>
    </row>
    <row r="15" spans="1:22" x14ac:dyDescent="0.2">
      <c r="A15" s="3">
        <v>13.1851621290204</v>
      </c>
      <c r="B15" s="3">
        <v>14.1878940588222</v>
      </c>
      <c r="L15">
        <f t="shared" si="0"/>
        <v>12.249317079309744</v>
      </c>
      <c r="M15">
        <f t="shared" si="1"/>
        <v>0.56038821163790598</v>
      </c>
      <c r="N15">
        <f t="shared" si="2"/>
        <v>0.86575125580802992</v>
      </c>
      <c r="O15">
        <f t="shared" si="3"/>
        <v>6.8643728918600448</v>
      </c>
      <c r="P15">
        <f t="shared" si="4"/>
        <v>0.12612241051686757</v>
      </c>
    </row>
    <row r="16" spans="1:22" x14ac:dyDescent="0.2">
      <c r="A16" s="3">
        <v>14.5735392513803</v>
      </c>
      <c r="B16" s="3">
        <v>13.0727299276226</v>
      </c>
      <c r="L16">
        <f t="shared" si="0"/>
        <v>12.401927919909898</v>
      </c>
      <c r="M16">
        <f t="shared" si="1"/>
        <v>0.56674699666291239</v>
      </c>
      <c r="N16">
        <f t="shared" si="2"/>
        <v>0.88170041043112124</v>
      </c>
      <c r="O16">
        <f t="shared" si="3"/>
        <v>7.0287554014388549</v>
      </c>
      <c r="P16">
        <f t="shared" si="4"/>
        <v>0.12544189690405624</v>
      </c>
    </row>
    <row r="17" spans="1:19" s="27" customFormat="1" x14ac:dyDescent="0.2">
      <c r="A17" s="29">
        <v>15.831752940082801</v>
      </c>
      <c r="B17" s="29">
        <v>11.5858444193565</v>
      </c>
      <c r="L17">
        <f t="shared" si="0"/>
        <v>12.540231155821138</v>
      </c>
      <c r="M17">
        <f t="shared" si="1"/>
        <v>0.57250963149254741</v>
      </c>
      <c r="N17" s="27">
        <f t="shared" si="2"/>
        <v>0.84888022194944923</v>
      </c>
      <c r="O17" s="27">
        <f t="shared" si="3"/>
        <v>7.1794031178505211</v>
      </c>
      <c r="P17" s="27">
        <f t="shared" si="4"/>
        <v>0.1182382724601206</v>
      </c>
    </row>
    <row r="18" spans="1:19" x14ac:dyDescent="0.2">
      <c r="A18" s="3">
        <v>17.393676011084899</v>
      </c>
      <c r="B18" s="3">
        <v>9.3142147900864494</v>
      </c>
      <c r="L18">
        <f t="shared" si="0"/>
        <v>12.711918220509471</v>
      </c>
      <c r="M18">
        <f t="shared" si="1"/>
        <v>0.57966325918789452</v>
      </c>
      <c r="N18">
        <f t="shared" si="2"/>
        <v>0.74976876488030908</v>
      </c>
      <c r="O18">
        <f t="shared" si="3"/>
        <v>7.3686319462305008</v>
      </c>
      <c r="P18">
        <f t="shared" si="4"/>
        <v>0.10175142012132402</v>
      </c>
    </row>
    <row r="19" spans="1:19" x14ac:dyDescent="0.2">
      <c r="A19" s="3">
        <v>16.786263601966699</v>
      </c>
      <c r="B19" s="3">
        <v>10.470680288156901</v>
      </c>
      <c r="L19">
        <f t="shared" si="0"/>
        <v>12.645151261551712</v>
      </c>
      <c r="M19">
        <f t="shared" si="1"/>
        <v>0.57688130256465464</v>
      </c>
      <c r="N19">
        <f t="shared" si="2"/>
        <v>0.8134271364527933</v>
      </c>
      <c r="O19">
        <f t="shared" si="3"/>
        <v>7.2947513308910379</v>
      </c>
      <c r="P19">
        <f t="shared" si="4"/>
        <v>0.11150854903143559</v>
      </c>
    </row>
    <row r="20" spans="1:19" x14ac:dyDescent="0.2">
      <c r="A20" s="3">
        <v>18.261408932036801</v>
      </c>
      <c r="B20" s="3">
        <v>7.9512364075091302</v>
      </c>
      <c r="L20">
        <f t="shared" si="0"/>
        <v>12.80729969024862</v>
      </c>
      <c r="M20">
        <f t="shared" si="1"/>
        <v>0.58363748709369245</v>
      </c>
      <c r="N20">
        <f t="shared" si="2"/>
        <v>0.67198358886347143</v>
      </c>
      <c r="O20">
        <f t="shared" si="3"/>
        <v>7.4748202076725301</v>
      </c>
      <c r="P20">
        <f t="shared" si="4"/>
        <v>8.9899632391654563E-2</v>
      </c>
    </row>
    <row r="21" spans="1:19" x14ac:dyDescent="0.2">
      <c r="A21" s="3">
        <v>19.215919593920798</v>
      </c>
      <c r="B21" s="3">
        <v>6.3404437735541297</v>
      </c>
      <c r="L21">
        <f t="shared" si="0"/>
        <v>12.912219795979205</v>
      </c>
      <c r="M21">
        <f t="shared" si="1"/>
        <v>0.58800915816580013</v>
      </c>
      <c r="N21">
        <f t="shared" si="2"/>
        <v>0.56385903962691253</v>
      </c>
      <c r="O21">
        <f t="shared" si="3"/>
        <v>7.5925034922855117</v>
      </c>
      <c r="P21">
        <f t="shared" si="4"/>
        <v>7.426523283128296E-2</v>
      </c>
    </row>
    <row r="22" spans="1:19" x14ac:dyDescent="0.2">
      <c r="A22" s="3">
        <v>19.996881129421901</v>
      </c>
      <c r="B22" s="3">
        <v>4.4405355213505997</v>
      </c>
      <c r="L22">
        <f t="shared" si="0"/>
        <v>12.998063328323376</v>
      </c>
      <c r="M22">
        <f t="shared" si="1"/>
        <v>0.59158597201347396</v>
      </c>
      <c r="N22">
        <f t="shared" si="2"/>
        <v>0.41094843635932499</v>
      </c>
      <c r="O22">
        <f t="shared" si="3"/>
        <v>7.6894719283788744</v>
      </c>
      <c r="P22">
        <f t="shared" si="4"/>
        <v>5.3442998451255518E-2</v>
      </c>
    </row>
    <row r="23" spans="1:19" x14ac:dyDescent="0.2">
      <c r="A23" s="3">
        <v>21.7757358417917</v>
      </c>
      <c r="B23" s="3">
        <v>0.88853024324490004</v>
      </c>
      <c r="L23">
        <f t="shared" si="0"/>
        <v>13.193595585797384</v>
      </c>
      <c r="M23">
        <f t="shared" si="1"/>
        <v>0.59973314940822431</v>
      </c>
      <c r="N23">
        <f t="shared" si="2"/>
        <v>8.9543645837502489E-2</v>
      </c>
      <c r="O23">
        <f t="shared" si="3"/>
        <v>7.9126366326887112</v>
      </c>
      <c r="P23">
        <f t="shared" si="4"/>
        <v>1.1316537077865989E-2</v>
      </c>
    </row>
    <row r="24" spans="1:19" x14ac:dyDescent="0.2">
      <c r="A24" s="3"/>
      <c r="B24" s="3"/>
    </row>
    <row r="25" spans="1:19" x14ac:dyDescent="0.2">
      <c r="A25" s="3"/>
      <c r="B25" s="3"/>
    </row>
    <row r="26" spans="1:19" x14ac:dyDescent="0.2">
      <c r="A26" s="3"/>
      <c r="B26" s="3"/>
    </row>
    <row r="27" spans="1:19" x14ac:dyDescent="0.2">
      <c r="A27" s="3"/>
      <c r="B27" s="3"/>
      <c r="R27">
        <v>5</v>
      </c>
      <c r="S27">
        <v>8</v>
      </c>
    </row>
    <row r="28" spans="1:19" x14ac:dyDescent="0.2">
      <c r="A28" s="3"/>
      <c r="B28" s="3"/>
      <c r="Q28" t="s">
        <v>55</v>
      </c>
      <c r="R28">
        <v>10</v>
      </c>
      <c r="S28">
        <v>17</v>
      </c>
    </row>
    <row r="29" spans="1:19" x14ac:dyDescent="0.2">
      <c r="A29" s="3"/>
      <c r="B29" s="3"/>
      <c r="Q29" t="s">
        <v>52</v>
      </c>
      <c r="R29">
        <v>15</v>
      </c>
      <c r="S29">
        <v>100</v>
      </c>
    </row>
    <row r="30" spans="1:19" x14ac:dyDescent="0.2">
      <c r="A30" s="3"/>
      <c r="B30" s="3"/>
    </row>
    <row r="31" spans="1:19" x14ac:dyDescent="0.2">
      <c r="A31" s="3"/>
      <c r="B31" s="3"/>
    </row>
    <row r="32" spans="1:19" x14ac:dyDescent="0.2">
      <c r="A32" s="3"/>
      <c r="B32" s="3"/>
    </row>
    <row r="33" spans="1:17" x14ac:dyDescent="0.2">
      <c r="A33" s="3"/>
      <c r="B33" s="3"/>
      <c r="Q33" t="s">
        <v>54</v>
      </c>
    </row>
    <row r="34" spans="1:17" x14ac:dyDescent="0.2">
      <c r="A34" s="3"/>
      <c r="B34" s="3"/>
      <c r="Q34" t="s">
        <v>53</v>
      </c>
    </row>
    <row r="35" spans="1:17" x14ac:dyDescent="0.2">
      <c r="A35" s="3"/>
      <c r="B35" s="3"/>
    </row>
    <row r="36" spans="1:17" x14ac:dyDescent="0.2">
      <c r="A36" s="3"/>
      <c r="B36" s="3"/>
    </row>
    <row r="37" spans="1:17" x14ac:dyDescent="0.2">
      <c r="A37" s="3"/>
      <c r="B37" s="3"/>
    </row>
    <row r="38" spans="1:17" x14ac:dyDescent="0.2">
      <c r="A38" s="3"/>
      <c r="B38" s="3"/>
    </row>
    <row r="39" spans="1:17" x14ac:dyDescent="0.2">
      <c r="A39" s="3"/>
      <c r="B39" s="3"/>
    </row>
    <row r="40" spans="1:17" x14ac:dyDescent="0.2">
      <c r="A40" s="3"/>
      <c r="B40" s="3"/>
    </row>
    <row r="41" spans="1:17" x14ac:dyDescent="0.2">
      <c r="A41" s="3"/>
      <c r="B41" s="3"/>
    </row>
    <row r="42" spans="1:17" x14ac:dyDescent="0.2">
      <c r="A42" s="3"/>
      <c r="B42" s="3"/>
    </row>
    <row r="43" spans="1:17" x14ac:dyDescent="0.2">
      <c r="A43" s="3"/>
      <c r="B43" s="3"/>
    </row>
    <row r="44" spans="1:17" x14ac:dyDescent="0.2">
      <c r="A44" s="3"/>
      <c r="B44" s="3"/>
    </row>
    <row r="45" spans="1:17" x14ac:dyDescent="0.2">
      <c r="A45" s="3"/>
      <c r="B45" s="3"/>
    </row>
    <row r="46" spans="1:17" x14ac:dyDescent="0.2">
      <c r="A46" s="3"/>
      <c r="B46" s="3"/>
    </row>
    <row r="47" spans="1:17" x14ac:dyDescent="0.2">
      <c r="A47" s="3"/>
      <c r="B47" s="3"/>
    </row>
    <row r="48" spans="1:17" x14ac:dyDescent="0.2">
      <c r="A48" s="3"/>
      <c r="B48" s="3"/>
    </row>
    <row r="49" spans="1:2" x14ac:dyDescent="0.2">
      <c r="A49" s="3"/>
      <c r="B49" s="3"/>
    </row>
    <row r="50" spans="1:2" x14ac:dyDescent="0.2">
      <c r="A50" s="3"/>
      <c r="B50" s="3"/>
    </row>
    <row r="51" spans="1:2" x14ac:dyDescent="0.2">
      <c r="A51" s="3"/>
      <c r="B51" s="3"/>
    </row>
    <row r="52" spans="1:2" x14ac:dyDescent="0.2">
      <c r="A52" s="3"/>
      <c r="B52" s="3"/>
    </row>
    <row r="53" spans="1:2" x14ac:dyDescent="0.2">
      <c r="A53" s="3"/>
      <c r="B53" s="3"/>
    </row>
    <row r="54" spans="1:2" x14ac:dyDescent="0.2">
      <c r="A54" s="3"/>
      <c r="B54" s="3"/>
    </row>
    <row r="55" spans="1:2" x14ac:dyDescent="0.2">
      <c r="A55" s="3"/>
      <c r="B55" s="3"/>
    </row>
    <row r="56" spans="1:2" x14ac:dyDescent="0.2">
      <c r="A56" s="3"/>
      <c r="B56" s="3"/>
    </row>
    <row r="57" spans="1:2" x14ac:dyDescent="0.2">
      <c r="A57" s="3"/>
      <c r="B57" s="3"/>
    </row>
    <row r="58" spans="1:2" x14ac:dyDescent="0.2">
      <c r="A58" s="3"/>
      <c r="B58" s="3"/>
    </row>
    <row r="59" spans="1:2" x14ac:dyDescent="0.2">
      <c r="A59" s="3"/>
      <c r="B59" s="3"/>
    </row>
    <row r="60" spans="1:2" x14ac:dyDescent="0.2">
      <c r="A60" s="3"/>
      <c r="B60" s="3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4A00-410D-41E1-9D9E-CC991DA1AF28}">
  <dimension ref="A9:M31"/>
  <sheetViews>
    <sheetView workbookViewId="0">
      <selection activeCell="I15" sqref="I15"/>
    </sheetView>
  </sheetViews>
  <sheetFormatPr baseColWidth="10" defaultColWidth="8.83203125" defaultRowHeight="15" x14ac:dyDescent="0.2"/>
  <cols>
    <col min="1" max="1" width="19.6640625" customWidth="1"/>
    <col min="2" max="2" width="10.33203125" customWidth="1"/>
    <col min="3" max="3" width="9.33203125" bestFit="1" customWidth="1"/>
    <col min="4" max="4" width="12.1640625" customWidth="1"/>
  </cols>
  <sheetData>
    <row r="9" spans="1:13" x14ac:dyDescent="0.2">
      <c r="E9" t="s">
        <v>37</v>
      </c>
      <c r="I9" s="4" t="s">
        <v>15</v>
      </c>
    </row>
    <row r="10" spans="1:13" x14ac:dyDescent="0.2">
      <c r="A10" s="13" t="s">
        <v>31</v>
      </c>
      <c r="B10" s="8" t="s">
        <v>30</v>
      </c>
      <c r="C10" s="7" t="s">
        <v>4</v>
      </c>
      <c r="D10" s="9" t="s">
        <v>2</v>
      </c>
      <c r="E10" s="7" t="s">
        <v>16</v>
      </c>
      <c r="F10" s="9" t="s">
        <v>17</v>
      </c>
      <c r="G10" s="7" t="s">
        <v>28</v>
      </c>
      <c r="H10" s="9" t="s">
        <v>29</v>
      </c>
      <c r="I10" s="16" t="s">
        <v>14</v>
      </c>
      <c r="J10" s="8" t="s">
        <v>33</v>
      </c>
      <c r="K10" s="8" t="s">
        <v>34</v>
      </c>
      <c r="L10" s="8" t="s">
        <v>35</v>
      </c>
      <c r="M10" s="9" t="s">
        <v>36</v>
      </c>
    </row>
    <row r="11" spans="1:13" x14ac:dyDescent="0.2">
      <c r="A11" s="7" t="s">
        <v>18</v>
      </c>
      <c r="B11" s="7">
        <v>32500</v>
      </c>
      <c r="C11" s="22">
        <v>22.241403510000001</v>
      </c>
      <c r="D11" s="23">
        <v>96.569490479999999</v>
      </c>
      <c r="E11" s="18">
        <v>12.2</v>
      </c>
      <c r="F11" s="19">
        <v>3.1</v>
      </c>
      <c r="G11" s="7">
        <v>9.9401250528474474</v>
      </c>
      <c r="H11" s="9">
        <v>37.82</v>
      </c>
      <c r="I11" s="16">
        <v>0.26282720922388808</v>
      </c>
      <c r="J11" s="8">
        <v>13.2</v>
      </c>
      <c r="K11" s="8">
        <v>10.8</v>
      </c>
      <c r="L11" s="8">
        <v>3.5</v>
      </c>
      <c r="M11" s="9">
        <v>2.6</v>
      </c>
    </row>
    <row r="12" spans="1:13" x14ac:dyDescent="0.2">
      <c r="A12" s="10" t="s">
        <v>32</v>
      </c>
      <c r="B12" s="10">
        <v>16000</v>
      </c>
      <c r="C12" s="20">
        <v>11.666624750743701</v>
      </c>
      <c r="D12" s="21">
        <v>15.137849697462199</v>
      </c>
      <c r="E12" s="14">
        <v>12.009523809523809</v>
      </c>
      <c r="F12" s="15">
        <v>0.54658436213991768</v>
      </c>
      <c r="G12" s="10">
        <v>0.81733319384771397</v>
      </c>
      <c r="H12" s="12">
        <v>6.5642179110327259</v>
      </c>
      <c r="I12" s="17">
        <v>0.12451341575269638</v>
      </c>
      <c r="J12" s="11">
        <v>13.2</v>
      </c>
      <c r="K12" s="11">
        <v>10.8</v>
      </c>
      <c r="L12" s="11">
        <v>0.6</v>
      </c>
      <c r="M12" s="12">
        <v>0.5</v>
      </c>
    </row>
    <row r="19" spans="2:11" x14ac:dyDescent="0.2">
      <c r="B19" s="13" t="s">
        <v>31</v>
      </c>
      <c r="C19" s="7" t="s">
        <v>18</v>
      </c>
      <c r="D19" s="10" t="s">
        <v>32</v>
      </c>
      <c r="I19" s="4"/>
      <c r="J19" s="4"/>
    </row>
    <row r="20" spans="2:11" x14ac:dyDescent="0.2">
      <c r="B20" s="8" t="s">
        <v>30</v>
      </c>
      <c r="C20" s="7">
        <v>32500</v>
      </c>
      <c r="D20" s="10">
        <v>16000</v>
      </c>
      <c r="E20" s="4"/>
      <c r="F20" s="4"/>
      <c r="G20" s="4"/>
      <c r="H20" s="4"/>
      <c r="I20" s="4"/>
      <c r="J20" s="4"/>
      <c r="K20" s="4"/>
    </row>
    <row r="21" spans="2:11" x14ac:dyDescent="0.2">
      <c r="B21" s="7" t="s">
        <v>4</v>
      </c>
      <c r="C21" s="22">
        <v>22.241403510000001</v>
      </c>
      <c r="D21" s="20">
        <v>11.666624750743701</v>
      </c>
    </row>
    <row r="22" spans="2:11" x14ac:dyDescent="0.2">
      <c r="B22" s="9" t="s">
        <v>2</v>
      </c>
      <c r="C22" s="23">
        <v>96.569490479999999</v>
      </c>
      <c r="D22" s="21">
        <v>15.137849697462199</v>
      </c>
    </row>
    <row r="23" spans="2:11" x14ac:dyDescent="0.2">
      <c r="B23" s="7" t="s">
        <v>16</v>
      </c>
      <c r="C23" s="18">
        <v>12.2</v>
      </c>
      <c r="D23" s="14">
        <v>12.009523809523809</v>
      </c>
    </row>
    <row r="24" spans="2:11" x14ac:dyDescent="0.2">
      <c r="B24" s="9" t="s">
        <v>17</v>
      </c>
      <c r="C24" s="19">
        <v>3.1</v>
      </c>
      <c r="D24" s="15">
        <v>0.54658436213991768</v>
      </c>
    </row>
    <row r="25" spans="2:11" x14ac:dyDescent="0.2">
      <c r="B25" s="7" t="s">
        <v>28</v>
      </c>
      <c r="C25" s="7">
        <v>9.9401250528474474</v>
      </c>
      <c r="D25" s="10">
        <v>0.81733319384771397</v>
      </c>
    </row>
    <row r="26" spans="2:11" x14ac:dyDescent="0.2">
      <c r="B26" s="9" t="s">
        <v>29</v>
      </c>
      <c r="C26" s="9">
        <v>37.82</v>
      </c>
      <c r="D26" s="12">
        <v>6.5642179110327259</v>
      </c>
    </row>
    <row r="27" spans="2:11" x14ac:dyDescent="0.2">
      <c r="B27" s="16" t="s">
        <v>14</v>
      </c>
      <c r="C27" s="16">
        <v>0.26282720922388808</v>
      </c>
      <c r="D27" s="17">
        <v>0.12451341575269638</v>
      </c>
    </row>
    <row r="28" spans="2:11" x14ac:dyDescent="0.2">
      <c r="B28" s="8" t="s">
        <v>33</v>
      </c>
      <c r="C28" s="8">
        <v>13.2</v>
      </c>
      <c r="D28" s="11">
        <v>13.2</v>
      </c>
    </row>
    <row r="29" spans="2:11" x14ac:dyDescent="0.2">
      <c r="B29" s="8" t="s">
        <v>34</v>
      </c>
      <c r="C29" s="8">
        <v>10.8</v>
      </c>
      <c r="D29" s="11">
        <v>10.8</v>
      </c>
    </row>
    <row r="30" spans="2:11" x14ac:dyDescent="0.2">
      <c r="B30" s="8" t="s">
        <v>35</v>
      </c>
      <c r="C30" s="8">
        <v>3.5</v>
      </c>
      <c r="D30" s="11">
        <v>0.6</v>
      </c>
    </row>
    <row r="31" spans="2:11" x14ac:dyDescent="0.2">
      <c r="B31" s="9" t="s">
        <v>36</v>
      </c>
      <c r="C31" s="9">
        <v>2.6</v>
      </c>
      <c r="D31" s="12">
        <v>0.5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09E6-ED87-4BC5-AA5E-85552E85EF5F}">
  <dimension ref="A1:P60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19.1640625" customWidth="1"/>
    <col min="2" max="2" width="21.33203125" customWidth="1"/>
  </cols>
  <sheetData>
    <row r="1" spans="1:16" x14ac:dyDescent="0.2">
      <c r="O1" t="s">
        <v>20</v>
      </c>
      <c r="P1" t="s">
        <v>19</v>
      </c>
    </row>
    <row r="2" spans="1:16" x14ac:dyDescent="0.2">
      <c r="H2" t="s">
        <v>5</v>
      </c>
      <c r="O2" t="s">
        <v>15</v>
      </c>
    </row>
    <row r="3" spans="1:16" x14ac:dyDescent="0.2">
      <c r="A3" t="s">
        <v>4</v>
      </c>
      <c r="B3" t="s">
        <v>2</v>
      </c>
      <c r="F3" t="s">
        <v>7</v>
      </c>
      <c r="H3" t="s">
        <v>11</v>
      </c>
      <c r="I3" s="4" t="s">
        <v>12</v>
      </c>
      <c r="J3" s="4" t="s">
        <v>13</v>
      </c>
      <c r="L3" t="s">
        <v>16</v>
      </c>
      <c r="M3" t="s">
        <v>17</v>
      </c>
      <c r="O3" t="s">
        <v>14</v>
      </c>
    </row>
    <row r="4" spans="1:16" x14ac:dyDescent="0.2">
      <c r="A4" s="3">
        <v>1.95249636311174</v>
      </c>
      <c r="B4" s="3">
        <v>52.121846816119003</v>
      </c>
      <c r="D4" t="s">
        <v>6</v>
      </c>
      <c r="E4">
        <v>1.95</v>
      </c>
      <c r="F4">
        <f>FORECAST(E4,$B$4:$B$60,$A$4:$A$60)</f>
        <v>52.331089657746496</v>
      </c>
      <c r="G4" t="s">
        <v>8</v>
      </c>
      <c r="H4">
        <f>FORECAST(A4,$B$4:$B$60,$A$4:$A$60)</f>
        <v>52.330651303882156</v>
      </c>
      <c r="I4" s="4">
        <f>SLOPE(B4:B60, A4:A60)</f>
        <v>-0.17559699639855411</v>
      </c>
      <c r="J4" s="4">
        <f>INTERCEPT(B4:B60,A4:A60)</f>
        <v>52.67350380072368</v>
      </c>
      <c r="L4">
        <v>13.2</v>
      </c>
      <c r="M4">
        <v>0.5</v>
      </c>
      <c r="O4">
        <f>(B4*A4)/(L4*M4)</f>
        <v>15.419350961687817</v>
      </c>
    </row>
    <row r="5" spans="1:16" x14ac:dyDescent="0.2">
      <c r="A5" s="3">
        <v>6.9731575201365503</v>
      </c>
      <c r="B5" s="3">
        <v>51.176468664858497</v>
      </c>
      <c r="D5" t="s">
        <v>10</v>
      </c>
      <c r="E5">
        <v>7</v>
      </c>
      <c r="F5" cm="1">
        <f t="array" ref="F5">TREND(B4:B60,A4:A60,E5)</f>
        <v>51.444324825933812</v>
      </c>
      <c r="G5" t="s">
        <v>9</v>
      </c>
      <c r="H5">
        <f t="shared" ref="H5:H60" si="0">FORECAST(A5,$B$4:$B$60,$A$4:$A$60)</f>
        <v>51.449038284773714</v>
      </c>
      <c r="I5">
        <f>A5*$I$4+$J$4</f>
        <v>51.449038284773714</v>
      </c>
    </row>
    <row r="6" spans="1:16" x14ac:dyDescent="0.2">
      <c r="A6" s="3">
        <v>13.388429752065999</v>
      </c>
      <c r="B6" s="3">
        <v>50.105042016806699</v>
      </c>
      <c r="H6">
        <f t="shared" si="0"/>
        <v>50.322535749767852</v>
      </c>
      <c r="I6">
        <f>A6*$I$4+$J$4</f>
        <v>50.322535749767852</v>
      </c>
    </row>
    <row r="7" spans="1:16" x14ac:dyDescent="0.2">
      <c r="A7" s="3">
        <v>18.688033553194298</v>
      </c>
      <c r="B7" s="3">
        <v>49.033613445378101</v>
      </c>
      <c r="H7">
        <f t="shared" si="0"/>
        <v>49.391941240187364</v>
      </c>
      <c r="I7">
        <f>A7*$I$4+$J$4</f>
        <v>49.391941240187364</v>
      </c>
    </row>
    <row r="8" spans="1:16" x14ac:dyDescent="0.2">
      <c r="A8" s="3">
        <v>24.545471569723301</v>
      </c>
      <c r="B8" s="3">
        <v>48.088235294117602</v>
      </c>
      <c r="H8">
        <f t="shared" si="0"/>
        <v>48.363392717894165</v>
      </c>
    </row>
    <row r="9" spans="1:16" x14ac:dyDescent="0.2">
      <c r="A9" s="3">
        <v>30.681818181818102</v>
      </c>
      <c r="B9" s="3">
        <v>47.142857142857103</v>
      </c>
      <c r="H9">
        <f t="shared" si="0"/>
        <v>47.285868683949872</v>
      </c>
    </row>
    <row r="10" spans="1:16" x14ac:dyDescent="0.2">
      <c r="A10" s="3">
        <v>35.702479338842899</v>
      </c>
      <c r="B10" s="3">
        <v>46.197478991596597</v>
      </c>
      <c r="H10">
        <f t="shared" si="0"/>
        <v>46.404255664841429</v>
      </c>
    </row>
    <row r="11" spans="1:16" x14ac:dyDescent="0.2">
      <c r="A11" s="3">
        <v>40.444231900301801</v>
      </c>
      <c r="B11" s="3">
        <v>45.315124127043397</v>
      </c>
      <c r="H11">
        <f t="shared" si="0"/>
        <v>45.571618157384094</v>
      </c>
    </row>
    <row r="12" spans="1:16" x14ac:dyDescent="0.2">
      <c r="A12" s="3">
        <v>46.022727272727202</v>
      </c>
      <c r="B12" s="3">
        <v>44.117647058823501</v>
      </c>
      <c r="H12">
        <f t="shared" si="0"/>
        <v>44.592051125562961</v>
      </c>
    </row>
    <row r="13" spans="1:16" x14ac:dyDescent="0.2">
      <c r="A13" s="3">
        <v>51.601239669421403</v>
      </c>
      <c r="B13" s="3">
        <v>43.298319327731001</v>
      </c>
      <c r="H13">
        <f t="shared" si="0"/>
        <v>43.612481104331366</v>
      </c>
    </row>
    <row r="14" spans="1:16" x14ac:dyDescent="0.2">
      <c r="A14" s="3">
        <v>57.737603305785001</v>
      </c>
      <c r="B14" s="3">
        <v>42.415966386554601</v>
      </c>
      <c r="H14">
        <f t="shared" si="0"/>
        <v>42.534954080976604</v>
      </c>
    </row>
    <row r="15" spans="1:16" x14ac:dyDescent="0.2">
      <c r="A15" s="3">
        <v>61.642561983470998</v>
      </c>
      <c r="B15" s="3">
        <v>41.344535891749203</v>
      </c>
      <c r="H15">
        <f t="shared" si="0"/>
        <v>41.849255066114473</v>
      </c>
    </row>
    <row r="16" spans="1:16" x14ac:dyDescent="0.2">
      <c r="A16" s="3">
        <v>66.105371900826299</v>
      </c>
      <c r="B16" s="3">
        <v>40.651260504201602</v>
      </c>
      <c r="H16">
        <f t="shared" si="0"/>
        <v>41.065599049129204</v>
      </c>
    </row>
    <row r="17" spans="1:8" x14ac:dyDescent="0.2">
      <c r="A17" s="3">
        <v>70.847107438016394</v>
      </c>
      <c r="B17" s="3">
        <v>39.768907563025202</v>
      </c>
      <c r="H17">
        <f t="shared" si="0"/>
        <v>40.232964531082338</v>
      </c>
    </row>
    <row r="18" spans="1:8" x14ac:dyDescent="0.2">
      <c r="A18" s="3">
        <v>76.425619834710702</v>
      </c>
      <c r="B18" s="3">
        <v>38.823529411764703</v>
      </c>
      <c r="H18">
        <f t="shared" si="0"/>
        <v>39.253394509850722</v>
      </c>
    </row>
    <row r="19" spans="1:8" x14ac:dyDescent="0.2">
      <c r="A19" s="3">
        <v>81.725206611570201</v>
      </c>
      <c r="B19" s="3">
        <v>37.752100840336098</v>
      </c>
      <c r="H19">
        <f t="shared" si="0"/>
        <v>38.322802989680696</v>
      </c>
    </row>
    <row r="20" spans="1:8" x14ac:dyDescent="0.2">
      <c r="A20" s="3">
        <v>87.861570247933798</v>
      </c>
      <c r="B20" s="3">
        <v>36.365546218487303</v>
      </c>
      <c r="H20">
        <f t="shared" si="0"/>
        <v>37.245275966325941</v>
      </c>
    </row>
    <row r="21" spans="1:8" x14ac:dyDescent="0.2">
      <c r="A21" s="3">
        <v>93.997933884297495</v>
      </c>
      <c r="B21" s="3">
        <v>35.231092436974699</v>
      </c>
      <c r="H21">
        <f t="shared" si="0"/>
        <v>36.167748942971166</v>
      </c>
    </row>
    <row r="22" spans="1:8" x14ac:dyDescent="0.2">
      <c r="A22" s="3">
        <v>98.739669421487505</v>
      </c>
      <c r="B22" s="3">
        <v>34.1596638655462</v>
      </c>
      <c r="H22">
        <f t="shared" si="0"/>
        <v>35.335114424924313</v>
      </c>
    </row>
    <row r="23" spans="1:8" x14ac:dyDescent="0.2">
      <c r="A23" s="3">
        <v>103.481404958677</v>
      </c>
      <c r="B23" s="3">
        <v>32.962181027196003</v>
      </c>
      <c r="H23">
        <f t="shared" si="0"/>
        <v>34.502479906877554</v>
      </c>
    </row>
    <row r="24" spans="1:8" x14ac:dyDescent="0.2">
      <c r="A24" s="3">
        <v>108.50206611570199</v>
      </c>
      <c r="B24" s="3">
        <v>31.6386516154313</v>
      </c>
      <c r="H24">
        <f t="shared" si="0"/>
        <v>33.620866887769076</v>
      </c>
    </row>
    <row r="25" spans="1:8" x14ac:dyDescent="0.2">
      <c r="A25" s="3">
        <v>113.80165289256099</v>
      </c>
      <c r="B25" s="3">
        <v>30.504197833918699</v>
      </c>
      <c r="H25">
        <f t="shared" si="0"/>
        <v>32.690275367599142</v>
      </c>
    </row>
    <row r="26" spans="1:8" x14ac:dyDescent="0.2">
      <c r="A26" s="3">
        <v>117.985537190082</v>
      </c>
      <c r="B26" s="3">
        <v>29.684873949579799</v>
      </c>
      <c r="H26">
        <f t="shared" si="0"/>
        <v>31.955597851675378</v>
      </c>
    </row>
    <row r="27" spans="1:8" x14ac:dyDescent="0.2">
      <c r="A27" s="3">
        <v>122.72727272727199</v>
      </c>
      <c r="B27" s="3">
        <v>28.991592791901901</v>
      </c>
      <c r="H27">
        <f t="shared" si="0"/>
        <v>31.12296333362853</v>
      </c>
    </row>
    <row r="28" spans="1:8" x14ac:dyDescent="0.2">
      <c r="A28" s="3">
        <v>126.353305785123</v>
      </c>
      <c r="B28" s="3">
        <v>28.802517161649799</v>
      </c>
      <c r="H28">
        <f t="shared" si="0"/>
        <v>30.486242819828028</v>
      </c>
    </row>
    <row r="29" spans="1:8" x14ac:dyDescent="0.2">
      <c r="A29" s="3">
        <v>130.537190082644</v>
      </c>
      <c r="B29" s="3">
        <v>28.802517161649799</v>
      </c>
      <c r="H29">
        <f t="shared" si="0"/>
        <v>29.751565303904268</v>
      </c>
    </row>
    <row r="30" spans="1:8" x14ac:dyDescent="0.2">
      <c r="A30" s="3">
        <v>134.44214876033001</v>
      </c>
      <c r="B30" s="3">
        <v>28.802517161649799</v>
      </c>
      <c r="H30">
        <f t="shared" si="0"/>
        <v>29.065866289042134</v>
      </c>
    </row>
    <row r="31" spans="1:8" x14ac:dyDescent="0.2">
      <c r="A31" s="3">
        <v>139.18388429752</v>
      </c>
      <c r="B31" s="3">
        <v>28.676470588235201</v>
      </c>
      <c r="H31">
        <f t="shared" si="0"/>
        <v>28.233231770995289</v>
      </c>
    </row>
    <row r="32" spans="1:8" x14ac:dyDescent="0.2">
      <c r="A32" s="3">
        <v>143.36776859504101</v>
      </c>
      <c r="B32" s="3">
        <v>28.613441531397701</v>
      </c>
      <c r="H32">
        <f t="shared" si="0"/>
        <v>27.498554255071525</v>
      </c>
    </row>
    <row r="33" spans="1:8" x14ac:dyDescent="0.2">
      <c r="A33" s="3">
        <v>147.55165289256101</v>
      </c>
      <c r="B33" s="3">
        <v>28.424365901145599</v>
      </c>
      <c r="H33">
        <f t="shared" si="0"/>
        <v>26.763876739147939</v>
      </c>
    </row>
    <row r="34" spans="1:8" x14ac:dyDescent="0.2">
      <c r="A34" s="3">
        <v>150.34090909090901</v>
      </c>
      <c r="B34" s="3">
        <v>28.172268907563002</v>
      </c>
      <c r="H34">
        <f t="shared" si="0"/>
        <v>26.274091728531978</v>
      </c>
    </row>
    <row r="35" spans="1:8" x14ac:dyDescent="0.2">
      <c r="A35" s="3">
        <v>154.24586776859499</v>
      </c>
      <c r="B35" s="3">
        <v>27.731092436974699</v>
      </c>
      <c r="H35">
        <f t="shared" si="0"/>
        <v>25.588392713669851</v>
      </c>
    </row>
    <row r="36" spans="1:8" x14ac:dyDescent="0.2">
      <c r="A36" s="3">
        <v>158.70867768594999</v>
      </c>
      <c r="B36" s="3">
        <v>27.226890756302499</v>
      </c>
      <c r="H36">
        <f t="shared" si="0"/>
        <v>24.804736696684632</v>
      </c>
    </row>
    <row r="37" spans="1:8" x14ac:dyDescent="0.2">
      <c r="A37" s="3">
        <v>162.613636363636</v>
      </c>
      <c r="B37" s="3">
        <v>26.722685228876699</v>
      </c>
      <c r="H37">
        <f t="shared" si="0"/>
        <v>24.119037681822501</v>
      </c>
    </row>
    <row r="38" spans="1:8" x14ac:dyDescent="0.2">
      <c r="A38" s="3">
        <v>166.79752066115699</v>
      </c>
      <c r="B38" s="3">
        <v>26.281512605042</v>
      </c>
      <c r="H38">
        <f t="shared" si="0"/>
        <v>23.384360165898741</v>
      </c>
    </row>
    <row r="39" spans="1:8" x14ac:dyDescent="0.2">
      <c r="A39" s="3">
        <v>171.260330578512</v>
      </c>
      <c r="B39" s="3">
        <v>25.7773070776162</v>
      </c>
      <c r="H39">
        <f t="shared" si="0"/>
        <v>22.600704148913522</v>
      </c>
    </row>
    <row r="40" spans="1:8" x14ac:dyDescent="0.2">
      <c r="A40" s="3">
        <v>175.16528925619801</v>
      </c>
      <c r="B40" s="3">
        <v>25.210080186859901</v>
      </c>
      <c r="H40">
        <f t="shared" si="0"/>
        <v>21.915005134051388</v>
      </c>
    </row>
    <row r="41" spans="1:8" x14ac:dyDescent="0.2">
      <c r="A41" s="3">
        <v>178.79132231404901</v>
      </c>
      <c r="B41" s="3">
        <v>24.390756302521002</v>
      </c>
      <c r="H41">
        <f t="shared" si="0"/>
        <v>21.278284620250886</v>
      </c>
    </row>
    <row r="42" spans="1:8" x14ac:dyDescent="0.2">
      <c r="A42" s="3">
        <v>183.53305785123899</v>
      </c>
      <c r="B42" s="3">
        <v>23.571428571428498</v>
      </c>
      <c r="H42">
        <f t="shared" si="0"/>
        <v>20.445650102204041</v>
      </c>
    </row>
    <row r="43" spans="1:8" x14ac:dyDescent="0.2">
      <c r="A43" s="3">
        <v>187.15909090909</v>
      </c>
      <c r="B43" s="3">
        <v>22.752096993582501</v>
      </c>
      <c r="H43">
        <f t="shared" si="0"/>
        <v>19.808929588403544</v>
      </c>
    </row>
    <row r="44" spans="1:8" x14ac:dyDescent="0.2">
      <c r="A44" s="3">
        <v>191.34297520661099</v>
      </c>
      <c r="B44" s="3">
        <v>21.806718842321999</v>
      </c>
      <c r="H44">
        <f t="shared" si="0"/>
        <v>19.07425207247978</v>
      </c>
    </row>
    <row r="45" spans="1:8" x14ac:dyDescent="0.2">
      <c r="A45" s="3">
        <v>195.52685950413201</v>
      </c>
      <c r="B45" s="3">
        <v>20.798319327731001</v>
      </c>
      <c r="H45">
        <f t="shared" si="0"/>
        <v>18.339574556556016</v>
      </c>
    </row>
    <row r="46" spans="1:8" x14ac:dyDescent="0.2">
      <c r="A46" s="3">
        <v>199.15292661052001</v>
      </c>
      <c r="B46" s="3">
        <v>19.726886909548899</v>
      </c>
      <c r="H46">
        <f t="shared" si="0"/>
        <v>17.702848063934688</v>
      </c>
    </row>
    <row r="47" spans="1:8" x14ac:dyDescent="0.2">
      <c r="A47" s="3">
        <v>203.05785123966899</v>
      </c>
      <c r="B47" s="3">
        <v>18.907563025209999</v>
      </c>
      <c r="H47">
        <f t="shared" si="0"/>
        <v>17.017155027893388</v>
      </c>
    </row>
    <row r="48" spans="1:8" x14ac:dyDescent="0.2">
      <c r="A48" s="3">
        <v>207.24173553719001</v>
      </c>
      <c r="B48" s="3">
        <v>17.773109243697402</v>
      </c>
      <c r="H48">
        <f t="shared" si="0"/>
        <v>16.282477511969624</v>
      </c>
    </row>
    <row r="49" spans="1:8" x14ac:dyDescent="0.2">
      <c r="A49" s="3">
        <v>211.42561983471001</v>
      </c>
      <c r="B49" s="3">
        <v>16.827731092436899</v>
      </c>
      <c r="H49">
        <f t="shared" si="0"/>
        <v>15.547799996046038</v>
      </c>
    </row>
    <row r="50" spans="1:8" x14ac:dyDescent="0.2">
      <c r="A50" s="3">
        <v>214.772727272727</v>
      </c>
      <c r="B50" s="3">
        <v>15.6932773109243</v>
      </c>
      <c r="H50">
        <f t="shared" si="0"/>
        <v>14.960057983306996</v>
      </c>
    </row>
    <row r="51" spans="1:8" x14ac:dyDescent="0.2">
      <c r="A51" s="3">
        <v>218.398794379116</v>
      </c>
      <c r="B51" s="3">
        <v>14.684873949579799</v>
      </c>
      <c r="H51">
        <f t="shared" si="0"/>
        <v>14.32333149068549</v>
      </c>
    </row>
    <row r="52" spans="1:8" x14ac:dyDescent="0.2">
      <c r="A52" s="3">
        <v>223.41945553613999</v>
      </c>
      <c r="B52" s="3">
        <v>13.2983154809775</v>
      </c>
      <c r="H52">
        <f t="shared" si="0"/>
        <v>13.441718471577182</v>
      </c>
    </row>
    <row r="53" spans="1:8" x14ac:dyDescent="0.2">
      <c r="A53" s="3">
        <v>226.76656297415701</v>
      </c>
      <c r="B53" s="3">
        <v>12.226890756302501</v>
      </c>
      <c r="H53">
        <f t="shared" si="0"/>
        <v>12.853976458838133</v>
      </c>
    </row>
    <row r="54" spans="1:8" x14ac:dyDescent="0.2">
      <c r="A54" s="3">
        <v>232.06611570247901</v>
      </c>
      <c r="B54" s="3">
        <v>10.714285714285699</v>
      </c>
      <c r="H54">
        <f t="shared" si="0"/>
        <v>11.92339091748903</v>
      </c>
    </row>
    <row r="55" spans="1:8" x14ac:dyDescent="0.2">
      <c r="A55" s="3">
        <v>236.52892561983401</v>
      </c>
      <c r="B55" s="3">
        <v>9.5798319327731107</v>
      </c>
      <c r="H55">
        <f t="shared" si="0"/>
        <v>11.139734900503811</v>
      </c>
    </row>
    <row r="56" spans="1:8" x14ac:dyDescent="0.2">
      <c r="A56" s="3">
        <v>242.386363636363</v>
      </c>
      <c r="B56" s="3">
        <v>7.8781512605042003</v>
      </c>
      <c r="H56">
        <f t="shared" si="0"/>
        <v>10.111186378210618</v>
      </c>
    </row>
    <row r="57" spans="1:8" x14ac:dyDescent="0.2">
      <c r="A57" s="3">
        <v>248.80165289256101</v>
      </c>
      <c r="B57" s="3">
        <v>5.7983193277310896</v>
      </c>
      <c r="H57">
        <f t="shared" si="0"/>
        <v>8.9846808537943375</v>
      </c>
    </row>
    <row r="58" spans="1:8" x14ac:dyDescent="0.2">
      <c r="A58" s="3">
        <v>256.05375305680201</v>
      </c>
      <c r="B58" s="3">
        <v>3.8445378151260501</v>
      </c>
      <c r="H58">
        <f t="shared" si="0"/>
        <v>7.7112338473721564</v>
      </c>
    </row>
    <row r="59" spans="1:8" x14ac:dyDescent="0.2">
      <c r="A59" s="3">
        <v>261.91119107332997</v>
      </c>
      <c r="B59" s="3">
        <v>2.0798319327731098</v>
      </c>
      <c r="H59">
        <f t="shared" si="0"/>
        <v>6.6826853250791416</v>
      </c>
    </row>
    <row r="60" spans="1:8" x14ac:dyDescent="0.2">
      <c r="A60" s="3">
        <v>265.25829851134699</v>
      </c>
      <c r="B60" s="3">
        <v>0.94537815126050595</v>
      </c>
      <c r="H60">
        <f t="shared" si="0"/>
        <v>6.0949433123400922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zoomScale="115" zoomScaleNormal="115" workbookViewId="0">
      <selection activeCell="A2" sqref="A2:B21"/>
    </sheetView>
  </sheetViews>
  <sheetFormatPr baseColWidth="10" defaultColWidth="8.83203125" defaultRowHeight="15" x14ac:dyDescent="0.2"/>
  <cols>
    <col min="1" max="1" width="16.6640625" customWidth="1"/>
    <col min="2" max="2" width="29.6640625" customWidth="1"/>
  </cols>
  <sheetData>
    <row r="1" spans="1:2" ht="16" thickBot="1" x14ac:dyDescent="0.25">
      <c r="A1" s="1" t="s">
        <v>0</v>
      </c>
      <c r="B1" s="1" t="s">
        <v>1</v>
      </c>
    </row>
    <row r="2" spans="1:2" ht="16" thickBot="1" x14ac:dyDescent="0.25">
      <c r="A2" s="2">
        <v>1.1901754389999999</v>
      </c>
      <c r="B2" s="2">
        <v>182.61418620000001</v>
      </c>
    </row>
    <row r="3" spans="1:2" ht="16" thickBot="1" x14ac:dyDescent="0.25">
      <c r="A3" s="2">
        <v>3.8680701750000002</v>
      </c>
      <c r="B3" s="2">
        <v>167.1039858</v>
      </c>
    </row>
    <row r="4" spans="1:2" ht="16" thickBot="1" x14ac:dyDescent="0.25">
      <c r="A4" s="2">
        <v>6.4715789470000002</v>
      </c>
      <c r="B4" s="2">
        <v>152.33235809999999</v>
      </c>
    </row>
    <row r="5" spans="1:2" ht="16" thickBot="1" x14ac:dyDescent="0.25">
      <c r="A5" s="2">
        <v>9.2982456140000007</v>
      </c>
      <c r="B5" s="2">
        <v>136.26821910000001</v>
      </c>
    </row>
    <row r="6" spans="1:2" ht="16" thickBot="1" x14ac:dyDescent="0.25">
      <c r="A6" s="2">
        <v>11.901754390000001</v>
      </c>
      <c r="B6" s="2">
        <v>121.12731220000001</v>
      </c>
    </row>
    <row r="7" spans="1:2" ht="16" thickBot="1" x14ac:dyDescent="0.25">
      <c r="A7" s="2">
        <v>13.910179980000001</v>
      </c>
      <c r="B7" s="2">
        <v>111.34111249999999</v>
      </c>
    </row>
    <row r="8" spans="1:2" ht="16" thickBot="1" x14ac:dyDescent="0.25">
      <c r="A8" s="2">
        <v>15.17473684</v>
      </c>
      <c r="B8" s="2">
        <v>106.17103349999999</v>
      </c>
    </row>
    <row r="9" spans="1:2" ht="16" thickBot="1" x14ac:dyDescent="0.25">
      <c r="A9" s="2">
        <v>16.290526320000001</v>
      </c>
      <c r="B9" s="2">
        <v>102.1088488</v>
      </c>
    </row>
    <row r="10" spans="1:2" ht="16" thickBot="1" x14ac:dyDescent="0.25">
      <c r="A10" s="2">
        <v>17.778245609999999</v>
      </c>
      <c r="B10" s="2">
        <v>100.4470413</v>
      </c>
    </row>
    <row r="11" spans="1:2" ht="16" thickBot="1" x14ac:dyDescent="0.25">
      <c r="A11" s="2">
        <v>19.48912735</v>
      </c>
      <c r="B11" s="2">
        <v>99.893105439999999</v>
      </c>
    </row>
    <row r="12" spans="1:2" ht="16" thickBot="1" x14ac:dyDescent="0.25">
      <c r="A12" s="2">
        <v>20.97684211</v>
      </c>
      <c r="B12" s="2">
        <v>98.969867789999995</v>
      </c>
    </row>
    <row r="13" spans="1:2" ht="16" thickBot="1" x14ac:dyDescent="0.25">
      <c r="A13" s="2">
        <v>22.241403510000001</v>
      </c>
      <c r="B13" s="2">
        <v>96.569490479999999</v>
      </c>
    </row>
    <row r="14" spans="1:2" ht="16" thickBot="1" x14ac:dyDescent="0.25">
      <c r="A14" s="2">
        <v>23.654736840000002</v>
      </c>
      <c r="B14" s="2">
        <v>92.691939689999998</v>
      </c>
    </row>
    <row r="15" spans="1:2" ht="16" thickBot="1" x14ac:dyDescent="0.25">
      <c r="A15" s="2">
        <v>26.778947370000001</v>
      </c>
      <c r="B15" s="2">
        <v>75.889219600000004</v>
      </c>
    </row>
    <row r="16" spans="1:2" ht="16" thickBot="1" x14ac:dyDescent="0.25">
      <c r="A16" s="2">
        <v>27.969127350000001</v>
      </c>
      <c r="B16" s="2">
        <v>70.165204779999996</v>
      </c>
    </row>
    <row r="17" spans="1:2" ht="16" thickBot="1" x14ac:dyDescent="0.25">
      <c r="A17" s="2">
        <v>29.68</v>
      </c>
      <c r="B17" s="2">
        <v>60.009725879999998</v>
      </c>
    </row>
    <row r="18" spans="1:2" ht="16" thickBot="1" x14ac:dyDescent="0.25">
      <c r="A18" s="2">
        <v>31.837192980000001</v>
      </c>
      <c r="B18" s="2">
        <v>44.684156729999998</v>
      </c>
    </row>
    <row r="19" spans="1:2" ht="16" thickBot="1" x14ac:dyDescent="0.25">
      <c r="A19" s="2">
        <v>33.92</v>
      </c>
      <c r="B19" s="2">
        <v>30.097191209999998</v>
      </c>
    </row>
    <row r="20" spans="1:2" ht="16" thickBot="1" x14ac:dyDescent="0.25">
      <c r="A20" s="2">
        <v>34.961403509999997</v>
      </c>
      <c r="B20" s="2">
        <v>21.788153810000001</v>
      </c>
    </row>
    <row r="21" spans="1:2" ht="16" thickBot="1" x14ac:dyDescent="0.25">
      <c r="A21" s="2">
        <v>35.928421049999997</v>
      </c>
      <c r="B21" s="2">
        <v>15.140923880000001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06D1F-F226-45C4-997C-0E212C135A03}">
  <dimension ref="A2:F60"/>
  <sheetViews>
    <sheetView workbookViewId="0">
      <selection activeCell="I13" sqref="I13"/>
    </sheetView>
  </sheetViews>
  <sheetFormatPr baseColWidth="10" defaultColWidth="8.83203125" defaultRowHeight="15" x14ac:dyDescent="0.2"/>
  <cols>
    <col min="1" max="1" width="19.1640625" customWidth="1"/>
    <col min="2" max="2" width="21.33203125" customWidth="1"/>
    <col min="6" max="6" width="13.1640625" customWidth="1"/>
  </cols>
  <sheetData>
    <row r="2" spans="1:6" ht="17" x14ac:dyDescent="0.2">
      <c r="F2" t="s">
        <v>3</v>
      </c>
    </row>
    <row r="3" spans="1:6" x14ac:dyDescent="0.2">
      <c r="A3" t="s">
        <v>4</v>
      </c>
      <c r="B3" t="s">
        <v>2</v>
      </c>
    </row>
    <row r="4" spans="1:6" x14ac:dyDescent="0.2">
      <c r="A4" s="3">
        <v>1.95249636311174</v>
      </c>
      <c r="B4" s="3">
        <v>52.121846816119003</v>
      </c>
      <c r="F4">
        <f>55.907 - 0.0005*POWER(A4,3) + 0.0452*POWER(A4,2) - 1.7905*POWER(A4,1)</f>
        <v>52.579646908049448</v>
      </c>
    </row>
    <row r="5" spans="1:6" x14ac:dyDescent="0.2">
      <c r="A5" s="3">
        <v>6.9731575201365503</v>
      </c>
      <c r="B5" s="3">
        <v>51.176468664858497</v>
      </c>
      <c r="F5">
        <f t="shared" ref="F5:F60" si="0">55.907 - 0.0005*POWER(A5,3) + 0.0452*POWER(A5,2) - 1.7905*POWER(A5,1)</f>
        <v>45.449873472877897</v>
      </c>
    </row>
    <row r="6" spans="1:6" x14ac:dyDescent="0.2">
      <c r="A6" s="3">
        <v>13.388429752065999</v>
      </c>
      <c r="B6" s="3">
        <v>50.105042016806699</v>
      </c>
      <c r="F6">
        <f t="shared" si="0"/>
        <v>38.837180484894489</v>
      </c>
    </row>
    <row r="7" spans="1:6" x14ac:dyDescent="0.2">
      <c r="A7" s="3">
        <v>18.688033553194298</v>
      </c>
      <c r="B7" s="3">
        <v>49.033613445378101</v>
      </c>
      <c r="F7">
        <f t="shared" si="0"/>
        <v>34.968512660850323</v>
      </c>
    </row>
    <row r="8" spans="1:6" x14ac:dyDescent="0.2">
      <c r="A8" s="3">
        <v>24.545471569723301</v>
      </c>
      <c r="B8" s="3">
        <v>48.088235294117602</v>
      </c>
      <c r="F8">
        <f t="shared" si="0"/>
        <v>31.79635704719189</v>
      </c>
    </row>
    <row r="9" spans="1:6" x14ac:dyDescent="0.2">
      <c r="A9" s="3">
        <v>30.681818181818102</v>
      </c>
      <c r="B9" s="3">
        <v>47.142857142857103</v>
      </c>
      <c r="F9">
        <f t="shared" si="0"/>
        <v>29.079775403831732</v>
      </c>
    </row>
    <row r="10" spans="1:6" x14ac:dyDescent="0.2">
      <c r="A10" s="3">
        <v>35.702479338842899</v>
      </c>
      <c r="B10" s="3">
        <v>46.197478991596597</v>
      </c>
      <c r="F10">
        <f t="shared" si="0"/>
        <v>26.842273874283777</v>
      </c>
    </row>
    <row r="11" spans="1:6" x14ac:dyDescent="0.2">
      <c r="A11" s="3">
        <v>40.444231900301801</v>
      </c>
      <c r="B11" s="3">
        <v>45.315124127043397</v>
      </c>
      <c r="F11">
        <f t="shared" si="0"/>
        <v>24.348824279152495</v>
      </c>
    </row>
    <row r="12" spans="1:6" x14ac:dyDescent="0.2">
      <c r="A12" s="3">
        <v>46.022727272727202</v>
      </c>
      <c r="B12" s="3">
        <v>44.117647058823501</v>
      </c>
      <c r="F12">
        <f t="shared" si="0"/>
        <v>20.50086724619652</v>
      </c>
    </row>
    <row r="13" spans="1:6" x14ac:dyDescent="0.2">
      <c r="A13" s="3">
        <v>51.601239669421403</v>
      </c>
      <c r="B13" s="3">
        <v>43.298319327731001</v>
      </c>
      <c r="F13">
        <f t="shared" si="0"/>
        <v>15.16947589266357</v>
      </c>
    </row>
    <row r="14" spans="1:6" x14ac:dyDescent="0.2">
      <c r="A14" s="3">
        <v>57.737603305785001</v>
      </c>
      <c r="B14" s="3">
        <v>42.415966386554601</v>
      </c>
      <c r="F14">
        <f t="shared" si="0"/>
        <v>6.9700076715140113</v>
      </c>
    </row>
    <row r="15" spans="1:6" x14ac:dyDescent="0.2">
      <c r="A15" s="3">
        <v>61.642561983470998</v>
      </c>
      <c r="B15" s="3">
        <v>41.344535891749203</v>
      </c>
      <c r="F15">
        <f t="shared" si="0"/>
        <v>0.17232758982152063</v>
      </c>
    </row>
    <row r="16" spans="1:6" x14ac:dyDescent="0.2">
      <c r="A16" s="3">
        <v>66.105371900826299</v>
      </c>
      <c r="B16" s="3">
        <v>40.651260504201602</v>
      </c>
      <c r="F16">
        <f t="shared" si="0"/>
        <v>-9.3718754184997408</v>
      </c>
    </row>
    <row r="17" spans="1:6" x14ac:dyDescent="0.2">
      <c r="A17" s="3">
        <v>70.847107438016394</v>
      </c>
      <c r="B17" s="3">
        <v>39.768907563025202</v>
      </c>
      <c r="F17">
        <f t="shared" si="0"/>
        <v>-21.873705550253064</v>
      </c>
    </row>
    <row r="18" spans="1:6" x14ac:dyDescent="0.2">
      <c r="A18" s="3">
        <v>76.425619834710702</v>
      </c>
      <c r="B18" s="3">
        <v>38.823529411764703</v>
      </c>
      <c r="F18">
        <f t="shared" si="0"/>
        <v>-40.12176587494713</v>
      </c>
    </row>
    <row r="19" spans="1:6" x14ac:dyDescent="0.2">
      <c r="A19" s="3">
        <v>81.725206611570201</v>
      </c>
      <c r="B19" s="3">
        <v>37.752100840336098</v>
      </c>
      <c r="F19">
        <f t="shared" si="0"/>
        <v>-61.45246916446041</v>
      </c>
    </row>
    <row r="20" spans="1:6" x14ac:dyDescent="0.2">
      <c r="A20" s="3">
        <v>87.861570247933798</v>
      </c>
      <c r="B20" s="3">
        <v>36.365546218487303</v>
      </c>
      <c r="F20">
        <f t="shared" si="0"/>
        <v>-91.611239896926122</v>
      </c>
    </row>
    <row r="21" spans="1:6" x14ac:dyDescent="0.2">
      <c r="A21" s="3">
        <v>93.997933884297495</v>
      </c>
      <c r="B21" s="3">
        <v>35.231092436974699</v>
      </c>
      <c r="F21">
        <f t="shared" si="0"/>
        <v>-128.29127375605719</v>
      </c>
    </row>
    <row r="22" spans="1:6" x14ac:dyDescent="0.2">
      <c r="A22" s="3">
        <v>98.739669421487505</v>
      </c>
      <c r="B22" s="3">
        <v>34.1596638655462</v>
      </c>
      <c r="F22">
        <f t="shared" si="0"/>
        <v>-161.54027467170835</v>
      </c>
    </row>
    <row r="23" spans="1:6" x14ac:dyDescent="0.2">
      <c r="A23" s="3">
        <v>103.481404958677</v>
      </c>
      <c r="B23" s="3">
        <v>32.962181027196003</v>
      </c>
      <c r="F23">
        <f t="shared" si="0"/>
        <v>-199.41692167541311</v>
      </c>
    </row>
    <row r="24" spans="1:6" x14ac:dyDescent="0.2">
      <c r="A24" s="3">
        <v>108.50206611570199</v>
      </c>
      <c r="B24" s="3">
        <v>31.6386516154313</v>
      </c>
      <c r="F24">
        <f t="shared" si="0"/>
        <v>-244.92103133857805</v>
      </c>
    </row>
    <row r="25" spans="1:6" x14ac:dyDescent="0.2">
      <c r="A25" s="3">
        <v>113.80165289256099</v>
      </c>
      <c r="B25" s="3">
        <v>30.504197833918699</v>
      </c>
      <c r="F25">
        <f t="shared" si="0"/>
        <v>-299.39011221063288</v>
      </c>
    </row>
    <row r="26" spans="1:6" x14ac:dyDescent="0.2">
      <c r="A26" s="3">
        <v>117.985537190082</v>
      </c>
      <c r="B26" s="3">
        <v>29.684873949579799</v>
      </c>
      <c r="F26">
        <f t="shared" si="0"/>
        <v>-347.34953934432338</v>
      </c>
    </row>
    <row r="27" spans="1:6" x14ac:dyDescent="0.2">
      <c r="A27" s="3">
        <v>122.72727272727199</v>
      </c>
      <c r="B27" s="3">
        <v>28.991592791901901</v>
      </c>
      <c r="F27">
        <f t="shared" si="0"/>
        <v>-407.29260555971979</v>
      </c>
    </row>
    <row r="28" spans="1:6" x14ac:dyDescent="0.2">
      <c r="A28" s="3">
        <v>126.353305785123</v>
      </c>
      <c r="B28" s="3">
        <v>28.802517161649799</v>
      </c>
      <c r="F28">
        <f t="shared" si="0"/>
        <v>-457.32869564281805</v>
      </c>
    </row>
    <row r="29" spans="1:6" x14ac:dyDescent="0.2">
      <c r="A29" s="3">
        <v>130.537190082644</v>
      </c>
      <c r="B29" s="3">
        <v>28.802517161649799</v>
      </c>
      <c r="F29">
        <f t="shared" si="0"/>
        <v>-519.78785535919076</v>
      </c>
    </row>
    <row r="30" spans="1:6" x14ac:dyDescent="0.2">
      <c r="A30" s="3">
        <v>134.44214876033001</v>
      </c>
      <c r="B30" s="3">
        <v>28.802517161649799</v>
      </c>
      <c r="F30">
        <f t="shared" si="0"/>
        <v>-582.83579026500979</v>
      </c>
    </row>
    <row r="31" spans="1:6" x14ac:dyDescent="0.2">
      <c r="A31" s="3">
        <v>139.18388429752</v>
      </c>
      <c r="B31" s="3">
        <v>28.676470588235201</v>
      </c>
      <c r="F31">
        <f t="shared" si="0"/>
        <v>-665.82619591716275</v>
      </c>
    </row>
    <row r="32" spans="1:6" x14ac:dyDescent="0.2">
      <c r="A32" s="3">
        <v>143.36776859504101</v>
      </c>
      <c r="B32" s="3">
        <v>28.613441531397701</v>
      </c>
      <c r="F32">
        <f t="shared" si="0"/>
        <v>-745.15114481673334</v>
      </c>
    </row>
    <row r="33" spans="1:6" x14ac:dyDescent="0.2">
      <c r="A33" s="3">
        <v>147.55165289256101</v>
      </c>
      <c r="B33" s="3">
        <v>28.424365901145599</v>
      </c>
      <c r="F33">
        <f t="shared" si="0"/>
        <v>-830.42256197444999</v>
      </c>
    </row>
    <row r="34" spans="1:6" x14ac:dyDescent="0.2">
      <c r="A34" s="3">
        <v>150.34090909090901</v>
      </c>
      <c r="B34" s="3">
        <v>28.172268907563002</v>
      </c>
      <c r="F34">
        <f t="shared" si="0"/>
        <v>-890.68226826046998</v>
      </c>
    </row>
    <row r="35" spans="1:6" x14ac:dyDescent="0.2">
      <c r="A35" s="3">
        <v>154.24586776859499</v>
      </c>
      <c r="B35" s="3">
        <v>27.731092436974699</v>
      </c>
      <c r="F35">
        <f t="shared" si="0"/>
        <v>-979.77389273216704</v>
      </c>
    </row>
    <row r="36" spans="1:6" x14ac:dyDescent="0.2">
      <c r="A36" s="3">
        <v>158.70867768594999</v>
      </c>
      <c r="B36" s="3">
        <v>27.226890756302499</v>
      </c>
      <c r="F36">
        <f t="shared" si="0"/>
        <v>-1088.555551433509</v>
      </c>
    </row>
    <row r="37" spans="1:6" x14ac:dyDescent="0.2">
      <c r="A37" s="3">
        <v>162.613636363636</v>
      </c>
      <c r="B37" s="3">
        <v>26.722685228876699</v>
      </c>
      <c r="F37">
        <f t="shared" si="0"/>
        <v>-1190.0323402223328</v>
      </c>
    </row>
    <row r="38" spans="1:6" x14ac:dyDescent="0.2">
      <c r="A38" s="3">
        <v>166.79752066115699</v>
      </c>
      <c r="B38" s="3">
        <v>26.281512605042</v>
      </c>
      <c r="F38">
        <f t="shared" si="0"/>
        <v>-1305.4874441196555</v>
      </c>
    </row>
    <row r="39" spans="1:6" x14ac:dyDescent="0.2">
      <c r="A39" s="3">
        <v>171.260330578512</v>
      </c>
      <c r="B39" s="3">
        <v>25.7773070776162</v>
      </c>
      <c r="F39">
        <f t="shared" si="0"/>
        <v>-1436.5554464026591</v>
      </c>
    </row>
    <row r="40" spans="1:6" x14ac:dyDescent="0.2">
      <c r="A40" s="3">
        <v>175.16528925619801</v>
      </c>
      <c r="B40" s="3">
        <v>25.210080186859901</v>
      </c>
      <c r="F40">
        <f t="shared" si="0"/>
        <v>-1558.1479885976159</v>
      </c>
    </row>
    <row r="41" spans="1:6" x14ac:dyDescent="0.2">
      <c r="A41" s="3">
        <v>178.79132231404901</v>
      </c>
      <c r="B41" s="3">
        <v>24.390756302521002</v>
      </c>
      <c r="F41">
        <f t="shared" si="0"/>
        <v>-1676.9922582052752</v>
      </c>
    </row>
    <row r="42" spans="1:6" x14ac:dyDescent="0.2">
      <c r="A42" s="3">
        <v>183.53305785123899</v>
      </c>
      <c r="B42" s="3">
        <v>23.571428571428498</v>
      </c>
      <c r="F42">
        <f t="shared" si="0"/>
        <v>-1841.2737504918798</v>
      </c>
    </row>
    <row r="43" spans="1:6" x14ac:dyDescent="0.2">
      <c r="A43" s="3">
        <v>187.15909090909</v>
      </c>
      <c r="B43" s="3">
        <v>22.752096993582501</v>
      </c>
      <c r="F43">
        <f t="shared" si="0"/>
        <v>-1973.8654847095361</v>
      </c>
    </row>
    <row r="44" spans="1:6" x14ac:dyDescent="0.2">
      <c r="A44" s="3">
        <v>191.34297520661099</v>
      </c>
      <c r="B44" s="3">
        <v>21.806718842321999</v>
      </c>
      <c r="F44">
        <f t="shared" si="0"/>
        <v>-2134.5614725407545</v>
      </c>
    </row>
    <row r="45" spans="1:6" x14ac:dyDescent="0.2">
      <c r="A45" s="3">
        <v>195.52685950413201</v>
      </c>
      <c r="B45" s="3">
        <v>20.798319327731001</v>
      </c>
      <c r="F45">
        <f t="shared" si="0"/>
        <v>-2303.7233304590595</v>
      </c>
    </row>
    <row r="46" spans="1:6" x14ac:dyDescent="0.2">
      <c r="A46" s="3">
        <v>199.15292661052001</v>
      </c>
      <c r="B46" s="3">
        <v>19.726886909548899</v>
      </c>
      <c r="F46">
        <f t="shared" si="0"/>
        <v>-2457.349522199203</v>
      </c>
    </row>
    <row r="47" spans="1:6" x14ac:dyDescent="0.2">
      <c r="A47" s="3">
        <v>203.05785123966899</v>
      </c>
      <c r="B47" s="3">
        <v>18.907563025209999</v>
      </c>
      <c r="F47">
        <f t="shared" si="0"/>
        <v>-2630.2499984917067</v>
      </c>
    </row>
    <row r="48" spans="1:6" x14ac:dyDescent="0.2">
      <c r="A48" s="3">
        <v>207.24173553719001</v>
      </c>
      <c r="B48" s="3">
        <v>17.773109243697402</v>
      </c>
      <c r="F48">
        <f t="shared" si="0"/>
        <v>-2824.285177920985</v>
      </c>
    </row>
    <row r="49" spans="1:6" x14ac:dyDescent="0.2">
      <c r="A49" s="3">
        <v>211.42561983471001</v>
      </c>
      <c r="B49" s="3">
        <v>16.827731092436899</v>
      </c>
      <c r="F49">
        <f t="shared" si="0"/>
        <v>-3027.6211454852519</v>
      </c>
    </row>
    <row r="50" spans="1:6" x14ac:dyDescent="0.2">
      <c r="A50" s="3">
        <v>214.772727272727</v>
      </c>
      <c r="B50" s="3">
        <v>15.6932773109243</v>
      </c>
      <c r="F50">
        <f t="shared" si="0"/>
        <v>-3197.1341356592648</v>
      </c>
    </row>
    <row r="51" spans="1:6" x14ac:dyDescent="0.2">
      <c r="A51" s="3">
        <v>218.398794379116</v>
      </c>
      <c r="B51" s="3">
        <v>14.684873949579799</v>
      </c>
      <c r="F51">
        <f t="shared" si="0"/>
        <v>-3387.7814251833074</v>
      </c>
    </row>
    <row r="52" spans="1:6" x14ac:dyDescent="0.2">
      <c r="A52" s="3">
        <v>223.41945553613999</v>
      </c>
      <c r="B52" s="3">
        <v>13.2983154809775</v>
      </c>
      <c r="F52">
        <f t="shared" si="0"/>
        <v>-3664.0419408229945</v>
      </c>
    </row>
    <row r="53" spans="1:6" x14ac:dyDescent="0.2">
      <c r="A53" s="3">
        <v>226.76656297415701</v>
      </c>
      <c r="B53" s="3">
        <v>12.226890756302501</v>
      </c>
      <c r="F53">
        <f t="shared" si="0"/>
        <v>-3856.3124661449669</v>
      </c>
    </row>
    <row r="54" spans="1:6" x14ac:dyDescent="0.2">
      <c r="A54" s="3">
        <v>232.06611570247901</v>
      </c>
      <c r="B54" s="3">
        <v>10.714285714285699</v>
      </c>
      <c r="F54">
        <f t="shared" si="0"/>
        <v>-4174.2991898856226</v>
      </c>
    </row>
    <row r="55" spans="1:6" x14ac:dyDescent="0.2">
      <c r="A55" s="3">
        <v>236.52892561983401</v>
      </c>
      <c r="B55" s="3">
        <v>9.5798319327731107</v>
      </c>
      <c r="F55">
        <f t="shared" si="0"/>
        <v>-4455.2575571504012</v>
      </c>
    </row>
    <row r="56" spans="1:6" x14ac:dyDescent="0.2">
      <c r="A56" s="3">
        <v>242.386363636363</v>
      </c>
      <c r="B56" s="3">
        <v>7.8781512605042003</v>
      </c>
      <c r="F56">
        <f t="shared" si="0"/>
        <v>-4842.7725531143915</v>
      </c>
    </row>
    <row r="57" spans="1:6" x14ac:dyDescent="0.2">
      <c r="A57" s="3">
        <v>248.80165289256101</v>
      </c>
      <c r="B57" s="3">
        <v>5.7983193277310896</v>
      </c>
      <c r="F57">
        <f t="shared" si="0"/>
        <v>-5292.2827069786899</v>
      </c>
    </row>
    <row r="58" spans="1:6" x14ac:dyDescent="0.2">
      <c r="A58" s="3">
        <v>256.05375305680201</v>
      </c>
      <c r="B58" s="3">
        <v>3.8445378151260501</v>
      </c>
      <c r="F58">
        <f t="shared" si="0"/>
        <v>-5832.9791896057022</v>
      </c>
    </row>
    <row r="59" spans="1:6" x14ac:dyDescent="0.2">
      <c r="A59" s="3">
        <v>261.91119107332997</v>
      </c>
      <c r="B59" s="3">
        <v>2.0798319327731098</v>
      </c>
      <c r="F59">
        <f t="shared" si="0"/>
        <v>-6295.6620520969209</v>
      </c>
    </row>
    <row r="60" spans="1:6" x14ac:dyDescent="0.2">
      <c r="A60" s="3">
        <v>265.25829851134699</v>
      </c>
      <c r="B60" s="3">
        <v>0.94537815126050595</v>
      </c>
      <c r="F60">
        <f t="shared" si="0"/>
        <v>-6570.7247171963663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23500</vt:lpstr>
      <vt:lpstr>pfb0412</vt:lpstr>
      <vt:lpstr>pfb0412-tp</vt:lpstr>
      <vt:lpstr>Sheet5</vt:lpstr>
      <vt:lpstr>houa</vt:lpstr>
      <vt:lpstr>pfb0412_30krpm</vt:lpstr>
      <vt:lpstr>pdf1224</vt:lpstr>
      <vt:lpstr>'23500'!text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Balma</dc:creator>
  <cp:lastModifiedBy>Riccardo MESSINA</cp:lastModifiedBy>
  <dcterms:created xsi:type="dcterms:W3CDTF">2015-06-05T18:17:20Z</dcterms:created>
  <dcterms:modified xsi:type="dcterms:W3CDTF">2025-03-25T02:56:49Z</dcterms:modified>
</cp:coreProperties>
</file>